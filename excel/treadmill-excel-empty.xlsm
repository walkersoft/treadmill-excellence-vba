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readmill Excellence\treadmill-excel-vba\excel\"/>
    </mc:Choice>
  </mc:AlternateContent>
  <xr:revisionPtr revIDLastSave="0" documentId="13_ncr:1_{D413661F-D4A6-4B48-AE74-A97947CA6882}" xr6:coauthVersionLast="46" xr6:coauthVersionMax="46" xr10:uidLastSave="{00000000-0000-0000-0000-000000000000}"/>
  <bookViews>
    <workbookView xWindow="-120" yWindow="-120" windowWidth="38640" windowHeight="21240" xr2:uid="{AA71DFDF-96EC-4D9B-BFE7-5130EC7A2940}"/>
  </bookViews>
  <sheets>
    <sheet name="Dashboard" sheetId="1" r:id="rId1"/>
    <sheet name="MasterData" sheetId="2" r:id="rId2"/>
    <sheet name="Pivots" sheetId="4" state="hidden" r:id="rId3"/>
  </sheets>
  <functionGroups builtInGroupCount="19"/>
  <calcPr calcId="181029"/>
  <pivotCaches>
    <pivotCache cacheId="498" r:id="rId4"/>
    <pivotCache cacheId="501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<sst xmlns="http://schemas.openxmlformats.org/spreadsheetml/2006/main" count="42" uniqueCount="24">
  <si>
    <t>Date</t>
  </si>
  <si>
    <t>Distance</t>
  </si>
  <si>
    <t>Calories</t>
  </si>
  <si>
    <t>Steps</t>
  </si>
  <si>
    <t>Time (Mins)</t>
  </si>
  <si>
    <t>Row Labels</t>
  </si>
  <si>
    <t>Grand Total</t>
  </si>
  <si>
    <t>Sum of Distance</t>
  </si>
  <si>
    <t>Sum of Time (Hours)</t>
  </si>
  <si>
    <t>Sum of Calories</t>
  </si>
  <si>
    <t>Sum of Steps</t>
  </si>
  <si>
    <t>Average of Time (Mins)</t>
  </si>
  <si>
    <t>Set Date</t>
  </si>
  <si>
    <t>Goal Achievements</t>
  </si>
  <si>
    <t>Goal Sets</t>
  </si>
  <si>
    <t>Min/Mile</t>
  </si>
  <si>
    <t>Miles</t>
  </si>
  <si>
    <t>Minutes</t>
  </si>
  <si>
    <t>Count of Min/Mile</t>
  </si>
  <si>
    <t>Sum of MPM</t>
  </si>
  <si>
    <t>Treadmill Dashboard</t>
  </si>
  <si>
    <t>Trigger a refresh after manual editing to update the dashboard</t>
  </si>
  <si>
    <t>(blank)</t>
  </si>
  <si>
    <t>&lt;1/1/1905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</si>
</sst>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 Light"/>
      <family val="2"/>
      <scheme val="maj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12"/>
      <color theme="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4" fillId="0" borderId="1" applyNumberFormat="0" applyFill="0" applyAlignment="0" applyProtection="0"/>
  </cellStyleXfs>
  <cellXfs count="23">
    <xf numFmtId="0" fontId="0" fillId="0" borderId="0" xfId="0"/>
    <xf numFmtId="2" fontId="0" fillId="0" borderId="0" xfId="0" applyNumberFormat="1"/>
    <xf numFmtId="14" fontId="0" fillId="0" borderId="0" xfId="0" applyNumberFormat="1"/>
    <xf numFmtId="14" fontId="0" fillId="0" borderId="0" xfId="0" applyNumberFormat="1" applyFill="1"/>
    <xf numFmtId="0" fontId="2" fillId="0" borderId="0" xfId="0" applyFont="1"/>
    <xf numFmtId="1" fontId="0" fillId="0" borderId="0" xfId="0" applyNumberFormat="1"/>
    <xf numFmtId="2" fontId="0" fillId="0" borderId="0" xfId="0" applyNumberFormat="1" applyFill="1"/>
    <xf numFmtId="1" fontId="0" fillId="0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4" fillId="0" borderId="1" xfId="1" applyFill="1"/>
    <xf numFmtId="0" fontId="5" fillId="0" borderId="1" xfId="1" applyFont="1" applyFill="1"/>
    <xf numFmtId="14" fontId="0" fillId="0" borderId="0" xfId="0" applyNumberFormat="1" applyFill="1" applyProtection="1"/>
    <xf numFmtId="2" fontId="0" fillId="0" borderId="0" xfId="0" applyNumberFormat="1" applyFill="1" applyProtection="1"/>
    <xf numFmtId="1" fontId="0" fillId="0" borderId="0" xfId="0" applyNumberFormat="1" applyFill="1" applyProtection="1"/>
    <xf numFmtId="14" fontId="1" fillId="0" borderId="0" xfId="0" applyNumberFormat="1" applyFont="1" applyProtection="1"/>
    <xf numFmtId="0" fontId="1" fillId="0" borderId="0" xfId="0" applyFont="1" applyProtection="1"/>
    <xf numFmtId="0" fontId="0" fillId="0" borderId="0" xfId="0" applyAlignment="1">
      <alignment vertical="center"/>
    </xf>
    <xf numFmtId="0" fontId="3" fillId="0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left"/>
    </xf>
  </cellXfs>
  <cellStyles count="2">
    <cellStyle name="Heading 1" xfId="1" builtinId="16"/>
    <cellStyle name="Normal" xfId="0" builtinId="0"/>
  </cellStyles>
  <dxfs count="19"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protection locked="1" hidden="0"/>
    </dxf>
    <dxf>
      <numFmt numFmtId="1" formatCode="0"/>
      <fill>
        <patternFill patternType="none">
          <fgColor indexed="64"/>
          <bgColor indexed="65"/>
        </patternFill>
      </fill>
      <protection locked="1" hidden="0"/>
    </dxf>
    <dxf>
      <numFmt numFmtId="1" formatCode="0"/>
      <fill>
        <patternFill patternType="none">
          <fgColor indexed="64"/>
          <bgColor indexed="65"/>
        </patternFill>
      </fill>
      <protection locked="1" hidden="0"/>
    </dxf>
    <dxf>
      <numFmt numFmtId="1" formatCode="0"/>
      <fill>
        <patternFill patternType="none">
          <fgColor indexed="64"/>
          <bgColor indexed="65"/>
        </patternFill>
      </fill>
      <protection locked="1" hidden="0"/>
    </dxf>
    <dxf>
      <numFmt numFmtId="2" formatCode="0.00"/>
      <fill>
        <patternFill patternType="none">
          <fgColor indexed="64"/>
          <bgColor indexed="65"/>
        </patternFill>
      </fill>
      <protection locked="1" hidden="0"/>
    </dxf>
    <dxf>
      <numFmt numFmtId="19" formatCode="m/d/yyyy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4"/>
        <color theme="1"/>
        <name val="Calibri Light"/>
        <family val="2"/>
        <scheme val="major"/>
      </font>
      <protection locked="1" hidden="0"/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[treadmill-excel-empty.xlsm]Pivots!DistancePivotTable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Distance Travelled (Miles)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Pivots!$B$2:$B$3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93DE-4565-965A-3335E67CAE1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73760"/>
        <c:axId val="1519874592"/>
      </c:barChart>
      <c:catAx>
        <c:axId val="151987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74592"/>
        <c:crosses val="autoZero"/>
        <c:auto val="1"/>
        <c:lblAlgn val="ctr"/>
        <c:lblOffset val="100"/>
        <c:noMultiLvlLbl val="0"/>
      </c:catAx>
      <c:valAx>
        <c:axId val="15198745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7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[treadmill-excel-empty.xlsm]Pivots!PivotTable2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Time (Hours/Minutes)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Pivots!$F$1</c:f>
              <c:strCache>
                <c:ptCount val="1"/>
                <c:pt idx="0">
                  <c:v>Sum of Time (Hours)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Pivots!$F$2:$F$3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D04-8358-159F29F6C912}"/>
            </c:ext>
          </c:extLst>
        </c:ser>
        <c:ser>
          <c:idx val="1"/>
          <c:order val="1"/>
          <c:tx>
            <c:strRef>
              <c:f>Pivots!$G$1</c:f>
              <c:strCache>
                <c:ptCount val="1"/>
                <c:pt idx="0">
                  <c:v>Average of Time (Mins)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Pivots!$E$2:$E$3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Pivots!$G$2:$G$3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B427-4D04-8358-159F29F6C91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72520816"/>
        <c:axId val="1372521232"/>
      </c:barChart>
      <c:catAx>
        <c:axId val="137252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2521232"/>
        <c:crosses val="autoZero"/>
        <c:auto val="1"/>
        <c:lblAlgn val="ctr"/>
        <c:lblOffset val="100"/>
        <c:noMultiLvlLbl val="0"/>
      </c:catAx>
      <c:valAx>
        <c:axId val="13725212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37252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[treadmill-excel-empty.xlsm]Pivots!PivotTable3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Calories Burned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Pivots!$I$2:$I$3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Pivots!$J$2:$J$3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8201-4608-958F-ACC32E6533E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19855872"/>
        <c:axId val="1519880000"/>
      </c:barChart>
      <c:catAx>
        <c:axId val="151985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0000"/>
        <c:crosses val="autoZero"/>
        <c:auto val="1"/>
        <c:lblAlgn val="ctr"/>
        <c:lblOffset val="100"/>
        <c:noMultiLvlLbl val="0"/>
      </c:catAx>
      <c:valAx>
        <c:axId val="151988000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198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[treadmill-excel-empty.xlsm]Pivots!PivotTable4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Steps Taken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Pivots!$N$1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Pivots!$M$2:$M$3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Pivots!$N$2:$N$3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D02-4347-9B91-D9EC4574B9B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97786432"/>
        <c:axId val="2097810144"/>
      </c:barChart>
      <c:catAx>
        <c:axId val="209778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10144"/>
        <c:crosses val="autoZero"/>
        <c:auto val="1"/>
        <c:lblAlgn val="ctr"/>
        <c:lblOffset val="100"/>
        <c:noMultiLvlLbl val="0"/>
      </c:catAx>
      <c:valAx>
        <c:axId val="209781014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78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[treadmill-excel-empty.xlsm]Pivots!PivotTable5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Minutes Per Mile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2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Pivots!$P$2:$P$3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Pivots!$Q$2:$Q$3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7-4947-B62B-B470097490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7857984"/>
        <c:axId val="2097877120"/>
      </c:barChart>
      <c:catAx>
        <c:axId val="209785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877120"/>
        <c:crosses val="autoZero"/>
        <c:auto val="1"/>
        <c:lblAlgn val="ctr"/>
        <c:lblOffset val="100"/>
        <c:noMultiLvlLbl val="0"/>
      </c:catAx>
      <c:valAx>
        <c:axId val="20978771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9785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[treadmill-excel-empty.xlsm]Pivots!PivotTable1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Goal Achievements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1750" cap="rnd">
            <a:solidFill>
              <a:schemeClr val="accent6"/>
            </a:solidFill>
            <a:round/>
          </a:ln>
          <a:effectLst/>
        </c:spPr>
        <c:marker>
          <c:symbol val="circle"/>
          <c:size val="17"/>
          <c:spPr>
            <a:solidFill>
              <a:schemeClr val="accent6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Pivots!$T$1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Pivots!$S$2:$S$3</c:f>
              <c:strCache>
                <c:ptCount val="1"/>
                <c:pt idx="0">
                  <c:v>&lt;1/1/1905</c:v>
                </c:pt>
              </c:strCache>
            </c:strRef>
          </c:cat>
          <c:val>
            <c:numRef>
              <c:f>Pivots!$T$2:$T$3</c:f>
              <c:numCache>
                <c:formatCode>General</c:formatCode>
                <c:ptCount val="1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51C-4079-82FE-947A06D0C1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9562336"/>
        <c:axId val="699561504"/>
      </c:lineChart>
      <c:catAx>
        <c:axId val="69956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61504"/>
        <c:crosses val="autoZero"/>
        <c:auto val="1"/>
        <c:lblAlgn val="ctr"/>
        <c:lblOffset val="100"/>
        <c:noMultiLvlLbl val="0"/>
      </c:catAx>
      <c:valAx>
        <c:axId val="69956150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9956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114475</xdr:colOff>
      <xdr:row>5</xdr:row>
      <xdr:rowOff>181339</xdr:rowOff>
    </xdr:from>
    <xdr:to>
      <xdr:col>5</xdr:col>
      <xdr:colOff>607870</xdr:colOff>
      <xdr:row>21</xdr:row>
      <xdr:rowOff>61251</xdr:rowOff>
    </xdr:to>
    <xdr:graphicFrame macro="">
      <xdr:nvGraphicFramePr>
        <xdr:cNvPr id="2" name="TotalDistanc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131519</xdr:colOff>
      <xdr:row>22</xdr:row>
      <xdr:rowOff>18132</xdr:rowOff>
    </xdr:from>
    <xdr:to>
      <xdr:col>14</xdr:col>
      <xdr:colOff>101039</xdr:colOff>
      <xdr:row>37</xdr:row>
      <xdr:rowOff>84881</xdr:rowOff>
    </xdr:to>
    <xdr:graphicFrame macro="">
      <xdr:nvGraphicFramePr>
        <xdr:cNvPr id="3" name="TotalTim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115949</xdr:colOff>
      <xdr:row>22</xdr:row>
      <xdr:rowOff>13552</xdr:rowOff>
    </xdr:from>
    <xdr:to>
      <xdr:col>6</xdr:col>
      <xdr:colOff>294</xdr:colOff>
      <xdr:row>37</xdr:row>
      <xdr:rowOff>80301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115948</xdr:colOff>
      <xdr:row>38</xdr:row>
      <xdr:rowOff>39013</xdr:rowOff>
    </xdr:from>
    <xdr:to>
      <xdr:col>6</xdr:col>
      <xdr:colOff>293</xdr:colOff>
      <xdr:row>53</xdr:row>
      <xdr:rowOff>107593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149284</xdr:colOff>
      <xdr:row>38</xdr:row>
      <xdr:rowOff>45610</xdr:rowOff>
    </xdr:from>
    <xdr:to>
      <xdr:col>14</xdr:col>
      <xdr:colOff>118804</xdr:colOff>
      <xdr:row>53</xdr:row>
      <xdr:rowOff>112358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133166</xdr:colOff>
      <xdr:row>5</xdr:row>
      <xdr:rowOff>182806</xdr:rowOff>
    </xdr:from>
    <xdr:to>
      <xdr:col>14</xdr:col>
      <xdr:colOff>102686</xdr:colOff>
      <xdr:row>21</xdr:row>
      <xdr:rowOff>62718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104775</xdr:colOff>
      <xdr:row>2</xdr:row>
      <xdr:rowOff>9525</xdr:rowOff>
    </xdr:from>
    <xdr:to>
      <xdr:col>2</xdr:col>
      <xdr:colOff>361950</xdr:colOff>
      <xdr:row>4</xdr:row>
      <xdr:rowOff>228600</xdr:rowOff>
    </xdr:to>
    <xdr:sp macro="[0]!LoadTreadmillEnt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4775" y="676275"/>
          <a:ext cx="2152650" cy="6000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Log</a:t>
          </a:r>
          <a:r>
            <a:rPr lang="en-US" sz="1400" b="1" baseline="0">
              <a:solidFill>
                <a:schemeClr val="bg1"/>
              </a:solidFill>
            </a:rPr>
            <a:t> Treadmill 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Session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510870</xdr:colOff>
      <xdr:row>2</xdr:row>
      <xdr:rowOff>10257</xdr:rowOff>
    </xdr:from>
    <xdr:to>
      <xdr:col>5</xdr:col>
      <xdr:colOff>206070</xdr:colOff>
      <xdr:row>4</xdr:row>
      <xdr:rowOff>231164</xdr:rowOff>
    </xdr:to>
    <xdr:sp macro="[0]!LoadGoalEntryForm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406345" y="677007"/>
          <a:ext cx="2152650" cy="60190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Create </a:t>
          </a:r>
        </a:p>
        <a:p>
          <a:pPr algn="ctr"/>
          <a:r>
            <a:rPr lang="en-US" sz="1400" b="1">
              <a:solidFill>
                <a:schemeClr val="bg1"/>
              </a:solidFill>
            </a:rPr>
            <a:t>New Goal</a:t>
          </a:r>
        </a:p>
      </xdr:txBody>
    </xdr:sp>
    <xdr:clientData/>
  </xdr:twoCellAnchor>
  <xdr:twoCellAnchor editAs="absolute">
    <xdr:from>
      <xdr:col>5</xdr:col>
      <xdr:colOff>376055</xdr:colOff>
      <xdr:row>2</xdr:row>
      <xdr:rowOff>10624</xdr:rowOff>
    </xdr:from>
    <xdr:to>
      <xdr:col>9</xdr:col>
      <xdr:colOff>90305</xdr:colOff>
      <xdr:row>4</xdr:row>
      <xdr:rowOff>231531</xdr:rowOff>
    </xdr:to>
    <xdr:sp macro="[0]!PopulateGoalAchievements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28980" y="677374"/>
          <a:ext cx="2152650" cy="60190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Recalc</a:t>
          </a:r>
          <a:r>
            <a:rPr lang="en-US" sz="1400" b="1" baseline="0">
              <a:solidFill>
                <a:schemeClr val="bg1"/>
              </a:solidFill>
            </a:rPr>
            <a:t>ulate Achievements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581025</xdr:colOff>
      <xdr:row>1</xdr:row>
      <xdr:rowOff>0</xdr:rowOff>
    </xdr:from>
    <xdr:to>
      <xdr:col>9</xdr:col>
      <xdr:colOff>295275</xdr:colOff>
      <xdr:row>4</xdr:row>
      <xdr:rowOff>28575</xdr:rowOff>
    </xdr:to>
    <xdr:sp macro="[0]!ToggleMasterDataEditing" textlink="">
      <xdr:nvSpPr>
        <xdr:cNvPr id="5" name="ToggleMasterDataEditingButton">
          <a:extLst>
            <a:ext uri="{FF2B5EF4-FFF2-40B4-BE49-F238E27FC236}">
              <a16:creationId xmlns:a16="http://schemas.microsoft.com/office/drawing/2014/main" id="{B4C26B64-2D74-4E60-9E6D-275ADFECE43E}"/>
            </a:ext>
          </a:extLst>
        </xdr:cNvPr>
        <xdr:cNvSpPr/>
      </xdr:nvSpPr>
      <xdr:spPr>
        <a:xfrm>
          <a:off x="6734175" y="238125"/>
          <a:ext cx="2152650" cy="6000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Enable Master</a:t>
          </a:r>
        </a:p>
        <a:p>
          <a:pPr algn="ctr"/>
          <a:r>
            <a:rPr lang="en-US" sz="1400" b="1">
              <a:solidFill>
                <a:schemeClr val="bg1"/>
              </a:solidFill>
            </a:rPr>
            <a:t>Data Editing</a:t>
          </a:r>
        </a:p>
      </xdr:txBody>
    </xdr:sp>
    <xdr:clientData fLocksWithSheet="0"/>
  </xdr:twoCellAnchor>
  <xdr:twoCellAnchor editAs="absolute">
    <xdr:from>
      <xdr:col>5</xdr:col>
      <xdr:colOff>590550</xdr:colOff>
      <xdr:row>5</xdr:row>
      <xdr:rowOff>76200</xdr:rowOff>
    </xdr:from>
    <xdr:to>
      <xdr:col>9</xdr:col>
      <xdr:colOff>304800</xdr:colOff>
      <xdr:row>8</xdr:row>
      <xdr:rowOff>104775</xdr:rowOff>
    </xdr:to>
    <xdr:sp macro="[0]!RefreshPivotCache" textlink="">
      <xdr:nvSpPr>
        <xdr:cNvPr id="3" name="RefreshStatsButton">
          <a:extLst>
            <a:ext uri="{FF2B5EF4-FFF2-40B4-BE49-F238E27FC236}">
              <a16:creationId xmlns:a16="http://schemas.microsoft.com/office/drawing/2014/main" id="{CA763BC8-DD16-42F2-B2FD-974E176170B4}"/>
            </a:ext>
          </a:extLst>
        </xdr:cNvPr>
        <xdr:cNvSpPr/>
      </xdr:nvSpPr>
      <xdr:spPr>
        <a:xfrm>
          <a:off x="6743700" y="1076325"/>
          <a:ext cx="2152650" cy="6000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Refresh</a:t>
          </a:r>
          <a:r>
            <a:rPr lang="en-US" sz="1400" b="1" baseline="0">
              <a:solidFill>
                <a:schemeClr val="bg1"/>
              </a:solidFill>
            </a:rPr>
            <a:t> Statistics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Calculations</a:t>
          </a:r>
          <a:endParaRPr lang="en-US" sz="1400" b="1">
            <a:solidFill>
              <a:schemeClr val="bg1"/>
            </a:solidFill>
          </a:endParaRPr>
        </a:p>
      </xdr:txBody>
    </xdr:sp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38.945899537037" createdVersion="7" refreshedVersion="7" minRefreshableVersion="3" recordCount="1" xr:uid="{06663743-CBFD-4976-A31F-22425A83666D}">
  <cacheSource type="worksheet">
    <worksheetSource name="GoalUnlocksTable"/>
  </cacheSource>
  <cacheFields count="5">
    <cacheField name="Date" numFmtId="14">
      <sharedItems containsNonDate="0" containsDate="1" containsString="0" containsBlank="1" minDate="1905-01-01T00:00:00" maxDate="1905-01-01T00:00:00" count="1">
        <m/>
      </sharedItems>
      <fieldGroup par="4" base="0">
        <rangePr groupBy="days" startDate="1905-01-01T00:00:00" endDate="1905-01-01T00:00:00"/>
        <groupItems count="368">
          <s v="(blank)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1/1905"/>
        </groupItems>
      </fieldGroup>
    </cacheField>
    <cacheField name="Miles" numFmtId="2">
      <sharedItems containsNonDate="0" containsString="0" containsBlank="1"/>
    </cacheField>
    <cacheField name="Minutes" numFmtId="1">
      <sharedItems containsNonDate="0" containsString="0" containsBlank="1"/>
    </cacheField>
    <cacheField name="Min/Mile" numFmtId="2">
      <sharedItems containsNonDate="0" containsString="0" containsBlank="1"/>
    </cacheField>
    <cacheField name="Months" numFmtId="0" databaseField="0">
      <fieldGroup base="0">
        <rangePr groupBy="months" startDate="1905-01-01T00:00:00" endDate="1905-01-01T00:00:00"/>
        <groupItems count="14">
          <s v="&lt;1/1/19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19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Walker" refreshedDate="44338.945899537037" createdVersion="7" refreshedVersion="7" minRefreshableVersion="3" recordCount="1" xr:uid="{2DCE61D0-A3AE-4BA4-84D5-ED522CB6A4F2}">
  <cacheSource type="worksheet">
    <worksheetSource name="MasterDataTable"/>
  </cacheSource>
  <cacheFields count="7">
    <cacheField name="Date" numFmtId="14">
      <sharedItems containsNonDate="0" containsString="0" containsBlank="1" count="1">
        <m/>
      </sharedItems>
    </cacheField>
    <cacheField name="Distance" numFmtId="2">
      <sharedItems containsNonDate="0" containsString="0" containsBlank="1"/>
    </cacheField>
    <cacheField name="Time (Mins)" numFmtId="1">
      <sharedItems containsNonDate="0" containsString="0" containsBlank="1"/>
    </cacheField>
    <cacheField name="Calories" numFmtId="1">
      <sharedItems containsNonDate="0" containsString="0" containsBlank="1"/>
    </cacheField>
    <cacheField name="Steps" numFmtId="1">
      <sharedItems containsNonDate="0" containsString="0" containsBlank="1"/>
    </cacheField>
    <cacheField name="Time (Hours)" numFmtId="0" formula="'Time (Mins)'/60" databaseField="0"/>
    <cacheField name="MPM" numFmtId="0" formula="'Time (Mins)'/Distanc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69017A-5D7C-4952-8DC8-CAC21510D283}" name="PivotTable5" cacheId="5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P1:Q3" firstHeaderRow="1" firstDataRow="1" firstDataCol="1"/>
  <pivotFields count="7">
    <pivotField axis="axisRow" numFmtId="14" showAll="0">
      <items count="2">
        <item x="0"/>
        <item t="default"/>
      </items>
    </pivotField>
    <pivotField numFmtId="2" showAll="0"/>
    <pivotField numFmtId="1" showAll="0"/>
    <pivotField numFmtId="1" showAll="0"/>
    <pivotField numFmtId="1" showAll="0"/>
    <pivotField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MPM" fld="6" baseField="0" baseItem="0"/>
  </dataFields>
  <chartFormats count="1">
    <chartFormat chart="0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D36F08-BDF4-4E9C-BAE4-B7D1C3EDAA67}" name="PivotTable4" cacheId="5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M1:N3" firstHeaderRow="1" firstDataRow="1" firstDataCol="1"/>
  <pivotFields count="7">
    <pivotField axis="axisRow" numFmtId="14" showAll="0">
      <items count="2">
        <item x="0"/>
        <item t="default"/>
      </items>
    </pivotField>
    <pivotField numFmtId="2" showAll="0"/>
    <pivotField numFmtId="1" showAll="0"/>
    <pivotField numFmtId="1" showAll="0"/>
    <pivotField dataField="1" numFmtId="1" showAl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Steps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DD2BFC-2A8C-41A0-9381-39BC7A9BB254}" name="PivotTable3" cacheId="5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I1:J3" firstHeaderRow="1" firstDataRow="1" firstDataCol="1"/>
  <pivotFields count="7">
    <pivotField axis="axisRow" numFmtId="14" showAll="0">
      <items count="2">
        <item x="0"/>
        <item t="default"/>
      </items>
    </pivotField>
    <pivotField numFmtId="2" showAll="0"/>
    <pivotField numFmtId="1" showAll="0"/>
    <pivotField dataField="1" numFmtId="1" showAll="0"/>
    <pivotField numFmtId="1" showAl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Calorie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C2DFAC-2391-425E-82D3-6C5912B94948}" name="PivotTable2" cacheId="5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E1:G3" firstHeaderRow="0" firstDataRow="1" firstDataCol="1"/>
  <pivotFields count="7">
    <pivotField axis="axisRow" numFmtId="14" showAll="0">
      <items count="2">
        <item x="0"/>
        <item t="default"/>
      </items>
    </pivotField>
    <pivotField numFmtId="2" showAll="0"/>
    <pivotField dataField="1" numFmtId="1" showAll="0"/>
    <pivotField numFmtId="1" showAll="0"/>
    <pivotField numFmtId="1" showAll="0"/>
    <pivotField dataField="1"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Time (Hours)" fld="5" baseField="0" baseItem="0" numFmtId="1"/>
    <dataField name="Average of Time (Mins)" fld="2" subtotal="average" baseField="0" baseItem="1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46E6A-F1B6-43F8-A018-752CD085EE3D}" name="DistancePivotTable" cacheId="50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1:B3" firstHeaderRow="1" firstDataRow="1" firstDataCol="1"/>
  <pivotFields count="7">
    <pivotField axis="axisRow" numFmtId="14" showAll="0">
      <items count="2">
        <item x="0"/>
        <item t="default"/>
      </items>
    </pivotField>
    <pivotField dataField="1" numFmtId="2" showAll="0"/>
    <pivotField numFmtId="1" showAll="0"/>
    <pivotField numFmtId="1" showAll="0"/>
    <pivotField numFmtId="1" showAl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Distance" fld="1" baseField="0" baseItem="1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FAB32-1F30-4D63-9348-32CF1C092185}" name="PivotTable1" cacheId="49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S1:T3" firstHeaderRow="1" firstDataRow="1" firstDataCol="1"/>
  <pivotFields count="5"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numFmtId="2" showAll="0"/>
    <pivotField numFmtId="1" showAll="0"/>
    <pivotField dataField="1" numFmtId="2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0"/>
  </rowFields>
  <rowItems count="2">
    <i>
      <x/>
    </i>
    <i t="grand">
      <x/>
    </i>
  </rowItems>
  <colItems count="1">
    <i/>
  </colItems>
  <dataFields count="1">
    <dataField name="Count of Min/Mile" fld="3" subtotal="count" baseField="0" baseItem="10"/>
  </dataFields>
  <chartFormats count="1"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7425BA4-4DAA-4C25-9037-606CDBFA5934}" name="GoalUnlocksTable" displayName="GoalUnlocksTable" ref="P7:S8" insertRow="1" totalsRowShown="0" headerRowDxfId="18" dataDxfId="17">
  <autoFilter ref="P7:S8" xr:uid="{2DC2E1C9-BED9-47FE-9CA9-8450E73A7A41}"/>
  <tableColumns count="4">
    <tableColumn id="1" xr3:uid="{5A55B867-A550-45CF-AABE-37478AFEBA8D}" name="Date" dataDxfId="16"/>
    <tableColumn id="2" xr3:uid="{D6C55F8A-C43A-44B9-991E-9493039EF268}" name="Miles" dataDxfId="15"/>
    <tableColumn id="3" xr3:uid="{02511F80-BC4C-477F-A655-262F65ED9686}" name="Minutes" dataDxfId="14"/>
    <tableColumn id="4" xr3:uid="{94982CE9-D51F-41F2-9968-6CDBF1A128B2}" name="Min/Mile" dataDxfId="13">
      <calculatedColumnFormula>GoalUnlocksTable[[#This Row],[Minutes]]/GoalUnlocksTable[[#This Row],[Miles]]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473FE3-AC0A-4029-B213-FDBE8F4BCF13}" name="GoalSetsTable" displayName="GoalSetsTable" ref="U7:X8" insertRow="1" totalsRowShown="0" headerRowDxfId="12" dataDxfId="0">
  <autoFilter ref="U7:X8" xr:uid="{2D15F289-BF74-4C62-A891-EB586B10C1B1}"/>
  <tableColumns count="4">
    <tableColumn id="1" xr3:uid="{C9178B14-4E4A-4C3B-824D-E13361A8EFC9}" name="Set Date" dataDxfId="4"/>
    <tableColumn id="2" xr3:uid="{DF7B696B-00A0-421A-BC7B-9E8B8DDA0910}" name="Miles" dataDxfId="3"/>
    <tableColumn id="3" xr3:uid="{0965688A-E067-49D7-AD11-00D3ECE60B4B}" name="Minutes" dataDxfId="2"/>
    <tableColumn id="4" xr3:uid="{F50F1052-5845-4A2D-8A3A-9BA2E43E036F}" name="Min/Mile" dataDxfId="1">
      <calculatedColumnFormula>GoalSetsTable[[#This Row],[Minutes]]/GoalSetsTable[[#This Row],[Miles]]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494E74-A8A2-489C-ADB9-B0EA7C9BB072}" name="MasterDataTable" displayName="MasterDataTable" ref="A1:E2" insertRow="1" totalsRowShown="0" headerRowDxfId="11" dataDxfId="5" headerRowCellStyle="Normal" dataCellStyle="Normal">
  <autoFilter ref="A1:E2" xr:uid="{9415ECDB-A660-4040-9ED5-E4A2F87C1FF1}"/>
  <tableColumns count="5">
    <tableColumn id="1" xr3:uid="{CD441949-09F4-404C-ADC6-46142E88C43F}" name="Date" dataDxfId="10" dataCellStyle="Normal"/>
    <tableColumn id="2" xr3:uid="{354EEFD6-3A23-4604-8C3F-EEA5629EF64B}" name="Distance" dataDxfId="9" dataCellStyle="Normal"/>
    <tableColumn id="3" xr3:uid="{528CAAA9-4F1B-48A1-B9AB-205DC5155A79}" name="Time (Mins)" dataDxfId="8" dataCellStyle="Normal"/>
    <tableColumn id="4" xr3:uid="{BF4531C9-1163-4A24-85DC-03EBBF4B0965}" name="Calories" dataDxfId="7" dataCellStyle="Normal"/>
    <tableColumn id="5" xr3:uid="{4A7F7040-8DB1-4543-A00B-3C3647A60694}" name="Steps" dataDxfId="6" dataCellStyle="Normal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799B-733F-46E3-9A0D-BE0E5493A721}">
  <sheetPr codeName="Dashboard"/>
  <dimension ref="A1:X45"/>
  <sheetViews>
    <sheetView showGridLines="0" tabSelected="1" zoomScaleNormal="100" workbookViewId="0">
      <selection activeCell="X1" sqref="X1"/>
    </sheetView>
  </sheetViews>
  <sheetFormatPr defaultRowHeight="15" x14ac:dyDescent="0.25"/>
  <cols>
    <col min="1" max="1" width="13.140625" style="11" bestFit="1" customWidth="1"/>
    <col min="2" max="2" width="15.28515625" style="11" bestFit="1" customWidth="1"/>
    <col min="3" max="3" width="18.5703125" style="11" bestFit="1" customWidth="1"/>
    <col min="4" max="4" width="9.140625" style="11" customWidth="1"/>
    <col min="5" max="14" width="9.140625" style="11"/>
    <col min="15" max="15" width="7.5703125" style="11" customWidth="1"/>
    <col min="16" max="19" width="11.5703125" style="11" customWidth="1"/>
    <col min="20" max="20" width="2.28515625" style="11" customWidth="1"/>
    <col min="21" max="24" width="11.5703125" style="11" customWidth="1"/>
    <col min="25" max="16384" width="9.140625" style="11"/>
  </cols>
  <sheetData>
    <row r="1" spans="1:24" ht="36.75" thickBot="1" x14ac:dyDescent="0.6">
      <c r="A1" s="13" t="s">
        <v>20</v>
      </c>
      <c r="B1" s="13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</row>
    <row r="2" spans="1:24" ht="15.75" thickTop="1" x14ac:dyDescent="0.25"/>
    <row r="5" spans="1:24" ht="21" x14ac:dyDescent="0.25">
      <c r="P5" s="20" t="s">
        <v>13</v>
      </c>
      <c r="Q5" s="20"/>
      <c r="R5" s="20"/>
      <c r="S5" s="20"/>
      <c r="U5" s="20" t="s">
        <v>14</v>
      </c>
      <c r="V5" s="20"/>
      <c r="W5" s="20"/>
      <c r="X5" s="20"/>
    </row>
    <row r="7" spans="1:24" x14ac:dyDescent="0.25">
      <c r="P7" s="11" t="s">
        <v>0</v>
      </c>
      <c r="Q7" s="11" t="s">
        <v>16</v>
      </c>
      <c r="R7" s="11" t="s">
        <v>17</v>
      </c>
      <c r="S7" s="11" t="s">
        <v>15</v>
      </c>
      <c r="U7" s="11" t="s">
        <v>12</v>
      </c>
      <c r="V7" s="11" t="s">
        <v>16</v>
      </c>
      <c r="W7" s="11" t="s">
        <v>17</v>
      </c>
      <c r="X7" s="11" t="s">
        <v>15</v>
      </c>
    </row>
    <row r="8" spans="1:24" x14ac:dyDescent="0.25">
      <c r="P8" s="3"/>
      <c r="Q8" s="6"/>
      <c r="R8" s="7"/>
      <c r="S8" s="6"/>
      <c r="U8" s="3"/>
      <c r="V8" s="6"/>
      <c r="W8" s="7"/>
      <c r="X8" s="6"/>
    </row>
    <row r="20" spans="21:24" x14ac:dyDescent="0.25">
      <c r="U20" s="3"/>
      <c r="V20" s="6"/>
      <c r="W20" s="7"/>
      <c r="X20" s="6"/>
    </row>
    <row r="21" spans="21:24" x14ac:dyDescent="0.25">
      <c r="U21" s="3"/>
      <c r="V21" s="6"/>
      <c r="W21" s="7"/>
      <c r="X21" s="6"/>
    </row>
    <row r="40" spans="1:1" x14ac:dyDescent="0.25">
      <c r="A40" s="3"/>
    </row>
    <row r="45" spans="1:1" x14ac:dyDescent="0.25">
      <c r="A45" s="3"/>
    </row>
  </sheetData>
  <mergeCells count="2">
    <mergeCell ref="P5:S5"/>
    <mergeCell ref="U5:X5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6DC6D-B632-491D-ACDF-B4C6DF7147FD}">
  <sheetPr codeName="MasterDataSheet"/>
  <dimension ref="A1:P8"/>
  <sheetViews>
    <sheetView showGridLines="0" workbookViewId="0">
      <selection activeCell="S1" sqref="S1"/>
    </sheetView>
  </sheetViews>
  <sheetFormatPr defaultRowHeight="15" x14ac:dyDescent="0.25"/>
  <cols>
    <col min="1" max="1" width="17.85546875" style="2" customWidth="1"/>
    <col min="2" max="2" width="17.85546875" style="1" customWidth="1"/>
    <col min="3" max="3" width="20.85546875" style="1" customWidth="1"/>
    <col min="4" max="5" width="17.85546875" style="1" customWidth="1"/>
  </cols>
  <sheetData>
    <row r="1" spans="1:16" s="4" customFormat="1" ht="18.75" x14ac:dyDescent="0.3">
      <c r="A1" s="17" t="s">
        <v>0</v>
      </c>
      <c r="B1" s="18" t="s">
        <v>1</v>
      </c>
      <c r="C1" s="18" t="s">
        <v>4</v>
      </c>
      <c r="D1" s="18" t="s">
        <v>2</v>
      </c>
      <c r="E1" s="18" t="s">
        <v>3</v>
      </c>
    </row>
    <row r="2" spans="1:16" x14ac:dyDescent="0.25">
      <c r="A2" s="14"/>
      <c r="B2" s="15"/>
      <c r="C2" s="16"/>
      <c r="D2" s="16"/>
      <c r="E2" s="16"/>
    </row>
    <row r="7" spans="1:16" x14ac:dyDescent="0.25">
      <c r="K7" s="21" t="s">
        <v>21</v>
      </c>
      <c r="L7" s="21"/>
      <c r="M7" s="21"/>
      <c r="N7" s="21"/>
      <c r="O7" s="19"/>
      <c r="P7" s="19"/>
    </row>
    <row r="8" spans="1:16" x14ac:dyDescent="0.25">
      <c r="K8" s="21"/>
      <c r="L8" s="21"/>
      <c r="M8" s="21"/>
      <c r="N8" s="21"/>
      <c r="O8" s="19"/>
      <c r="P8" s="19"/>
    </row>
  </sheetData>
  <sheetProtection sheet="1" objects="1" scenarios="1"/>
  <mergeCells count="1">
    <mergeCell ref="K7:N8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8E53-F76A-40C9-9FB7-2D45F032919B}">
  <sheetPr codeName="Pivots"/>
  <dimension ref="A1:T3"/>
  <sheetViews>
    <sheetView workbookViewId="0">
      <selection activeCell="V32" sqref="V32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4" width="1.85546875" customWidth="1"/>
    <col min="5" max="5" width="13.140625" bestFit="1" customWidth="1"/>
    <col min="6" max="6" width="19.28515625" bestFit="1" customWidth="1"/>
    <col min="7" max="7" width="22.140625" bestFit="1" customWidth="1"/>
    <col min="8" max="8" width="2.42578125" customWidth="1"/>
    <col min="9" max="9" width="13.140625" bestFit="1" customWidth="1"/>
    <col min="10" max="10" width="14.85546875" bestFit="1" customWidth="1"/>
    <col min="11" max="11" width="1.85546875" customWidth="1"/>
    <col min="12" max="12" width="2.42578125" customWidth="1"/>
    <col min="13" max="13" width="13.140625" bestFit="1" customWidth="1"/>
    <col min="14" max="14" width="12.42578125" bestFit="1" customWidth="1"/>
    <col min="16" max="16" width="13.140625" bestFit="1" customWidth="1"/>
    <col min="17" max="17" width="12.42578125" bestFit="1" customWidth="1"/>
    <col min="18" max="18" width="12" bestFit="1" customWidth="1"/>
    <col min="19" max="19" width="13.140625" bestFit="1" customWidth="1"/>
    <col min="20" max="20" width="17.85546875" bestFit="1" customWidth="1"/>
    <col min="21" max="32" width="5.5703125" bestFit="1" customWidth="1"/>
    <col min="33" max="33" width="11.28515625" bestFit="1" customWidth="1"/>
    <col min="34" max="36" width="12" bestFit="1" customWidth="1"/>
    <col min="37" max="38" width="11" bestFit="1" customWidth="1"/>
    <col min="39" max="43" width="12" bestFit="1" customWidth="1"/>
    <col min="44" max="44" width="11" bestFit="1" customWidth="1"/>
    <col min="45" max="47" width="12" bestFit="1" customWidth="1"/>
    <col min="48" max="48" width="7.7109375" bestFit="1" customWidth="1"/>
    <col min="49" max="64" width="12" bestFit="1" customWidth="1"/>
    <col min="65" max="67" width="11" bestFit="1" customWidth="1"/>
    <col min="68" max="70" width="12" bestFit="1" customWidth="1"/>
    <col min="71" max="71" width="11" bestFit="1" customWidth="1"/>
    <col min="72" max="85" width="12" bestFit="1" customWidth="1"/>
    <col min="86" max="87" width="11" bestFit="1" customWidth="1"/>
    <col min="88" max="88" width="12" bestFit="1" customWidth="1"/>
  </cols>
  <sheetData>
    <row r="1" spans="1:20" x14ac:dyDescent="0.25">
      <c r="A1" s="8" t="s">
        <v>5</v>
      </c>
      <c r="B1" t="s">
        <v>7</v>
      </c>
      <c r="E1" s="8" t="s">
        <v>5</v>
      </c>
      <c r="F1" t="s">
        <v>8</v>
      </c>
      <c r="G1" t="s">
        <v>11</v>
      </c>
      <c r="I1" s="8" t="s">
        <v>5</v>
      </c>
      <c r="J1" t="s">
        <v>9</v>
      </c>
      <c r="M1" s="8" t="s">
        <v>5</v>
      </c>
      <c r="N1" t="s">
        <v>10</v>
      </c>
      <c r="P1" s="8" t="s">
        <v>5</v>
      </c>
      <c r="Q1" t="s">
        <v>19</v>
      </c>
      <c r="S1" s="8" t="s">
        <v>5</v>
      </c>
      <c r="T1" t="s">
        <v>18</v>
      </c>
    </row>
    <row r="2" spans="1:20" x14ac:dyDescent="0.25">
      <c r="A2" s="22" t="s">
        <v>22</v>
      </c>
      <c r="B2" s="10"/>
      <c r="E2" s="22" t="s">
        <v>22</v>
      </c>
      <c r="F2" s="5">
        <v>0</v>
      </c>
      <c r="G2" s="10"/>
      <c r="I2" s="22" t="s">
        <v>22</v>
      </c>
      <c r="J2" s="10"/>
      <c r="M2" s="22" t="s">
        <v>22</v>
      </c>
      <c r="N2" s="10"/>
      <c r="P2" s="22" t="s">
        <v>22</v>
      </c>
      <c r="Q2" s="10" t="e">
        <v>#DIV/0!</v>
      </c>
      <c r="S2" s="9" t="s">
        <v>23</v>
      </c>
      <c r="T2" s="10"/>
    </row>
    <row r="3" spans="1:20" x14ac:dyDescent="0.25">
      <c r="A3" s="22" t="s">
        <v>6</v>
      </c>
      <c r="B3" s="10"/>
      <c r="E3" s="22" t="s">
        <v>6</v>
      </c>
      <c r="F3" s="5">
        <v>0</v>
      </c>
      <c r="G3" s="10"/>
      <c r="I3" s="22" t="s">
        <v>6</v>
      </c>
      <c r="J3" s="10"/>
      <c r="M3" s="22" t="s">
        <v>6</v>
      </c>
      <c r="N3" s="10"/>
      <c r="P3" s="22" t="s">
        <v>6</v>
      </c>
      <c r="Q3" s="10" t="e">
        <v>#DIV/0!</v>
      </c>
      <c r="S3" s="9" t="s">
        <v>6</v>
      </c>
      <c r="T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MasterData</vt:lpstr>
      <vt:lpstr>Pivots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</dc:creator>
  <cp:lastModifiedBy>Jason Walker</cp:lastModifiedBy>
  <dcterms:created xsi:type="dcterms:W3CDTF">2021-04-11T20:54:45Z</dcterms:created>
  <dcterms:modified xsi:type="dcterms:W3CDTF">2021-05-23T03:42:16Z</dcterms:modified>
</cp:coreProperties>
</file>