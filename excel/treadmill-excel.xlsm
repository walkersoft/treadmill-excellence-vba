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Treadmill Excellence\treadmill-excel-vba\excel\"/>
    </mc:Choice>
  </mc:AlternateContent>
  <xr:revisionPtr revIDLastSave="0" documentId="13_ncr:1_{6AC8D91B-EB0F-486D-A686-F549760CD67F}" xr6:coauthVersionLast="46" xr6:coauthVersionMax="46" xr10:uidLastSave="{00000000-0000-0000-0000-000000000000}"/>
  <bookViews>
    <workbookView xWindow="-120" yWindow="-120" windowWidth="38640" windowHeight="21240" xr2:uid="{AA71DFDF-96EC-4D9B-BFE7-5130EC7A2940}"/>
  </bookViews>
  <sheets>
    <sheet name="Dashboard" sheetId="1" r:id="rId1"/>
    <sheet name="MasterData" sheetId="2" r:id="rId2"/>
    <sheet name="Pivots" sheetId="4" state="hidden" r:id="rId3"/>
  </sheets>
  <calcPr calcId="181029"/>
  <pivotCaches>
    <pivotCache cacheId="124" r:id="rId4"/>
    <pivotCache cacheId="127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30" i="1" l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X8" i="1"/>
  <c r="X9" i="1"/>
  <c r="X10" i="1"/>
  <c r="X11" i="1"/>
  <c r="X12" i="1"/>
</calcChain>
</file>

<file path=xl/sharedStrings.xml><?xml version="1.0" encoding="utf-8"?>
<sst xmlns="http://schemas.openxmlformats.org/spreadsheetml/2006/main" count="58" uniqueCount="25">
  <si>
    <t>Date</t>
  </si>
  <si>
    <t>Distance</t>
  </si>
  <si>
    <t>Calories</t>
  </si>
  <si>
    <t>Steps</t>
  </si>
  <si>
    <t>Time (Mins)</t>
  </si>
  <si>
    <t>Row Labels</t>
  </si>
  <si>
    <t>Grand Total</t>
  </si>
  <si>
    <t>Jan</t>
  </si>
  <si>
    <t>Feb</t>
  </si>
  <si>
    <t>Mar</t>
  </si>
  <si>
    <t>Sum of Distance</t>
  </si>
  <si>
    <t>Sum of Time (Hours)</t>
  </si>
  <si>
    <t>Sum of Calories</t>
  </si>
  <si>
    <t>Sum of Steps</t>
  </si>
  <si>
    <t>Average of Time (Mins)</t>
  </si>
  <si>
    <t>Set Date</t>
  </si>
  <si>
    <t>Goal Achievements</t>
  </si>
  <si>
    <t>Goal Sets</t>
  </si>
  <si>
    <t>Min/Mile</t>
  </si>
  <si>
    <t>Miles</t>
  </si>
  <si>
    <t>Minutes</t>
  </si>
  <si>
    <t>Count of Min/Mile</t>
  </si>
  <si>
    <t>Sum of MPM</t>
  </si>
  <si>
    <t>Treadmill Dashboard</t>
  </si>
  <si>
    <t>Apr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</si>
</sst>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4"/>
      <color theme="1"/>
      <name val="Calibri Light"/>
      <family val="2"/>
      <scheme val="maj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28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5" fillId="0" borderId="1" applyNumberFormat="0" applyFill="0" applyAlignment="0" applyProtection="0"/>
  </cellStyleXfs>
  <cellXfs count="17">
    <xf numFmtId="0" fontId="0" fillId="0" borderId="0" xfId="0"/>
    <xf numFmtId="2" fontId="0" fillId="0" borderId="0" xfId="0" applyNumberFormat="1"/>
    <xf numFmtId="14" fontId="0" fillId="0" borderId="0" xfId="0" applyNumberFormat="1"/>
    <xf numFmtId="14" fontId="0" fillId="0" borderId="0" xfId="0" applyNumberFormat="1" applyFill="1"/>
    <xf numFmtId="14" fontId="1" fillId="0" borderId="0" xfId="0" applyNumberFormat="1" applyFont="1"/>
    <xf numFmtId="0" fontId="1" fillId="0" borderId="0" xfId="0" applyFont="1"/>
    <xf numFmtId="0" fontId="2" fillId="0" borderId="0" xfId="0" applyFont="1"/>
    <xf numFmtId="1" fontId="0" fillId="0" borderId="0" xfId="0" applyNumberFormat="1"/>
    <xf numFmtId="2" fontId="0" fillId="0" borderId="0" xfId="0" applyNumberFormat="1" applyFill="1"/>
    <xf numFmtId="1" fontId="0" fillId="0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0" fontId="4" fillId="0" borderId="0" xfId="0" applyFont="1" applyFill="1" applyAlignment="1">
      <alignment horizontal="center" vertical="center"/>
    </xf>
    <xf numFmtId="0" fontId="5" fillId="0" borderId="1" xfId="1" applyFill="1"/>
    <xf numFmtId="0" fontId="6" fillId="0" borderId="1" xfId="1" applyFont="1" applyFill="1"/>
  </cellXfs>
  <cellStyles count="2">
    <cellStyle name="Heading 1" xfId="1" builtinId="16"/>
    <cellStyle name="Normal" xfId="0" builtinId="0"/>
  </cellStyles>
  <dxfs count="19">
    <dxf>
      <numFmt numFmtId="19" formatCode="m/d/yyyy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</dxf>
    <dxf>
      <numFmt numFmtId="2" formatCode="0.00"/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[treadmill-excel.xlsm]Pivots!DistancePivotTable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Distance Travelled (Miles)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Pivots!$A$2:$A$6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Pivots!$B$2:$B$6</c:f>
              <c:numCache>
                <c:formatCode>General</c:formatCode>
                <c:ptCount val="4"/>
                <c:pt idx="0">
                  <c:v>60.759999999999991</c:v>
                </c:pt>
                <c:pt idx="1">
                  <c:v>22.46</c:v>
                </c:pt>
                <c:pt idx="2">
                  <c:v>34.229999999999997</c:v>
                </c:pt>
                <c:pt idx="3">
                  <c:v>21.47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E-4565-965A-3335E67CAE1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19873760"/>
        <c:axId val="1519874592"/>
      </c:barChart>
      <c:catAx>
        <c:axId val="151987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74592"/>
        <c:crosses val="autoZero"/>
        <c:auto val="1"/>
        <c:lblAlgn val="ctr"/>
        <c:lblOffset val="100"/>
        <c:noMultiLvlLbl val="0"/>
      </c:catAx>
      <c:valAx>
        <c:axId val="151987459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1987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[treadmill-excel.xlsm]Pivots!PivotTable2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Time (Hours/Minutes)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Pivots!$F$1</c:f>
              <c:strCache>
                <c:ptCount val="1"/>
                <c:pt idx="0">
                  <c:v>Sum of Time (Hours)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Pivots!$E$2:$E$6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Pivots!$F$2:$F$6</c:f>
              <c:numCache>
                <c:formatCode>0</c:formatCode>
                <c:ptCount val="4"/>
                <c:pt idx="0">
                  <c:v>15.816666666666666</c:v>
                </c:pt>
                <c:pt idx="1">
                  <c:v>5.0166666666666666</c:v>
                </c:pt>
                <c:pt idx="2">
                  <c:v>10.15</c:v>
                </c:pt>
                <c:pt idx="3">
                  <c:v>6.7333333333333334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27-4D04-8358-159F29F6C912}"/>
            </c:ext>
          </c:extLst>
        </c:ser>
        <c:ser>
          <c:idx val="1"/>
          <c:order val="1"/>
          <c:tx>
            <c:strRef>
              <c:f>Pivots!$G$1</c:f>
              <c:strCache>
                <c:ptCount val="1"/>
                <c:pt idx="0">
                  <c:v>Average of Time (Mins)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Pivots!$E$2:$E$6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Pivots!$G$2:$G$6</c:f>
              <c:numCache>
                <c:formatCode>General</c:formatCode>
                <c:ptCount val="4"/>
                <c:pt idx="0">
                  <c:v>36.5</c:v>
                </c:pt>
                <c:pt idx="1">
                  <c:v>37.625</c:v>
                </c:pt>
                <c:pt idx="2">
                  <c:v>29</c:v>
                </c:pt>
                <c:pt idx="3">
                  <c:v>25.25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27-4D04-8358-159F29F6C91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72520816"/>
        <c:axId val="1372521232"/>
      </c:barChart>
      <c:catAx>
        <c:axId val="137252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521232"/>
        <c:crosses val="autoZero"/>
        <c:auto val="1"/>
        <c:lblAlgn val="ctr"/>
        <c:lblOffset val="100"/>
        <c:noMultiLvlLbl val="0"/>
      </c:catAx>
      <c:valAx>
        <c:axId val="13725212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37252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[treadmill-excel.xlsm]Pivots!PivotTable3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Calories Burned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Pivots!$J$1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Pivots!$I$2:$I$6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Pivots!$J$2:$J$6</c:f>
              <c:numCache>
                <c:formatCode>General</c:formatCode>
                <c:ptCount val="4"/>
                <c:pt idx="0">
                  <c:v>6914</c:v>
                </c:pt>
                <c:pt idx="1">
                  <c:v>2539</c:v>
                </c:pt>
                <c:pt idx="2">
                  <c:v>3785</c:v>
                </c:pt>
                <c:pt idx="3">
                  <c:v>2465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01-4608-958F-ACC32E6533E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19855872"/>
        <c:axId val="1519880000"/>
      </c:barChart>
      <c:catAx>
        <c:axId val="151985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0000"/>
        <c:crosses val="autoZero"/>
        <c:auto val="1"/>
        <c:lblAlgn val="ctr"/>
        <c:lblOffset val="100"/>
        <c:noMultiLvlLbl val="0"/>
      </c:catAx>
      <c:valAx>
        <c:axId val="151988000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1985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[treadmill-excel.xlsm]Pivots!PivotTable4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Steps Taken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Pivots!$N$1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Pivots!$M$2:$M$6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Pivots!$N$2:$N$6</c:f>
              <c:numCache>
                <c:formatCode>General</c:formatCode>
                <c:ptCount val="4"/>
                <c:pt idx="0">
                  <c:v>117271</c:v>
                </c:pt>
                <c:pt idx="1">
                  <c:v>37106</c:v>
                </c:pt>
                <c:pt idx="2">
                  <c:v>66513</c:v>
                </c:pt>
                <c:pt idx="3">
                  <c:v>43488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02-4347-9B91-D9EC4574B9B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097786432"/>
        <c:axId val="2097810144"/>
      </c:barChart>
      <c:catAx>
        <c:axId val="209778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810144"/>
        <c:crosses val="autoZero"/>
        <c:auto val="1"/>
        <c:lblAlgn val="ctr"/>
        <c:lblOffset val="100"/>
        <c:noMultiLvlLbl val="0"/>
      </c:catAx>
      <c:valAx>
        <c:axId val="209781014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9778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[treadmill-excel.xlsm]Pivots!PivotTable5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Minutes Per Mile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Pivots!$Q$1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Pivots!$P$2:$P$6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Pivots!$Q$2:$Q$6</c:f>
              <c:numCache>
                <c:formatCode>General</c:formatCode>
                <c:ptCount val="4"/>
                <c:pt idx="0">
                  <c:v>15.618828176431865</c:v>
                </c:pt>
                <c:pt idx="1">
                  <c:v>13.40160284951024</c:v>
                </c:pt>
                <c:pt idx="2">
                  <c:v>17.791411042944787</c:v>
                </c:pt>
                <c:pt idx="3">
                  <c:v>18.816953889147648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7-4947-B62B-B470097490C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97857984"/>
        <c:axId val="2097877120"/>
      </c:barChart>
      <c:catAx>
        <c:axId val="209785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877120"/>
        <c:crosses val="autoZero"/>
        <c:auto val="1"/>
        <c:lblAlgn val="ctr"/>
        <c:lblOffset val="100"/>
        <c:noMultiLvlLbl val="0"/>
      </c:catAx>
      <c:valAx>
        <c:axId val="209787712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9785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[treadmill-excel.xlsm]Pivots!PivotTable1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Goal Achievements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1750" cap="rnd">
            <a:solidFill>
              <a:schemeClr val="accent6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6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Pivots!$T$1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Pivots!$S$2:$S$5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Pivots!$T$2:$T$5</c:f>
              <c:numCache>
                <c:formatCode>General</c:formatCode>
                <c:ptCount val="3"/>
                <c:pt idx="0">
                  <c:v>15</c:v>
                </c:pt>
                <c:pt idx="1">
                  <c:v>6</c:v>
                </c:pt>
                <c:pt idx="2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51C-4079-82FE-947A06D0C18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9562336"/>
        <c:axId val="699561504"/>
      </c:lineChart>
      <c:catAx>
        <c:axId val="69956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561504"/>
        <c:crosses val="autoZero"/>
        <c:auto val="1"/>
        <c:lblAlgn val="ctr"/>
        <c:lblOffset val="100"/>
        <c:noMultiLvlLbl val="0"/>
      </c:catAx>
      <c:valAx>
        <c:axId val="69956150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9956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114475</xdr:colOff>
      <xdr:row>5</xdr:row>
      <xdr:rowOff>181339</xdr:rowOff>
    </xdr:from>
    <xdr:to>
      <xdr:col>5</xdr:col>
      <xdr:colOff>607870</xdr:colOff>
      <xdr:row>21</xdr:row>
      <xdr:rowOff>61251</xdr:rowOff>
    </xdr:to>
    <xdr:graphicFrame macro="">
      <xdr:nvGraphicFramePr>
        <xdr:cNvPr id="2" name="TotalDistanc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131519</xdr:colOff>
      <xdr:row>22</xdr:row>
      <xdr:rowOff>18132</xdr:rowOff>
    </xdr:from>
    <xdr:to>
      <xdr:col>14</xdr:col>
      <xdr:colOff>101039</xdr:colOff>
      <xdr:row>37</xdr:row>
      <xdr:rowOff>84881</xdr:rowOff>
    </xdr:to>
    <xdr:graphicFrame macro="">
      <xdr:nvGraphicFramePr>
        <xdr:cNvPr id="3" name="TotalTim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115949</xdr:colOff>
      <xdr:row>22</xdr:row>
      <xdr:rowOff>13552</xdr:rowOff>
    </xdr:from>
    <xdr:to>
      <xdr:col>6</xdr:col>
      <xdr:colOff>294</xdr:colOff>
      <xdr:row>37</xdr:row>
      <xdr:rowOff>80301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115948</xdr:colOff>
      <xdr:row>38</xdr:row>
      <xdr:rowOff>39013</xdr:rowOff>
    </xdr:from>
    <xdr:to>
      <xdr:col>6</xdr:col>
      <xdr:colOff>293</xdr:colOff>
      <xdr:row>53</xdr:row>
      <xdr:rowOff>107593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149284</xdr:colOff>
      <xdr:row>38</xdr:row>
      <xdr:rowOff>45610</xdr:rowOff>
    </xdr:from>
    <xdr:to>
      <xdr:col>14</xdr:col>
      <xdr:colOff>118804</xdr:colOff>
      <xdr:row>53</xdr:row>
      <xdr:rowOff>112358</xdr:rowOff>
    </xdr:to>
    <xdr:graphicFrame macro="">
      <xdr:nvGraphicFramePr>
        <xdr:cNvPr id="10" name="Chart 4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6</xdr:col>
      <xdr:colOff>133166</xdr:colOff>
      <xdr:row>5</xdr:row>
      <xdr:rowOff>182806</xdr:rowOff>
    </xdr:from>
    <xdr:to>
      <xdr:col>14</xdr:col>
      <xdr:colOff>102686</xdr:colOff>
      <xdr:row>21</xdr:row>
      <xdr:rowOff>62718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104775</xdr:colOff>
      <xdr:row>2</xdr:row>
      <xdr:rowOff>9525</xdr:rowOff>
    </xdr:from>
    <xdr:to>
      <xdr:col>2</xdr:col>
      <xdr:colOff>361950</xdr:colOff>
      <xdr:row>4</xdr:row>
      <xdr:rowOff>228600</xdr:rowOff>
    </xdr:to>
    <xdr:sp macro="[0]!LoadTreadmillEnt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87D9641-150D-4F35-B940-239486B4D795}"/>
            </a:ext>
          </a:extLst>
        </xdr:cNvPr>
        <xdr:cNvSpPr/>
      </xdr:nvSpPr>
      <xdr:spPr>
        <a:xfrm>
          <a:off x="104775" y="676275"/>
          <a:ext cx="2152650" cy="60007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Log</a:t>
          </a:r>
          <a:r>
            <a:rPr lang="en-US" sz="1400" b="1" baseline="0">
              <a:solidFill>
                <a:schemeClr val="bg1"/>
              </a:solidFill>
            </a:rPr>
            <a:t> Treadmill </a:t>
          </a:r>
        </a:p>
        <a:p>
          <a:pPr algn="ctr"/>
          <a:r>
            <a:rPr lang="en-US" sz="1400" b="1" baseline="0">
              <a:solidFill>
                <a:schemeClr val="bg1"/>
              </a:solidFill>
            </a:rPr>
            <a:t>Session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510870</xdr:colOff>
      <xdr:row>2</xdr:row>
      <xdr:rowOff>10257</xdr:rowOff>
    </xdr:from>
    <xdr:to>
      <xdr:col>5</xdr:col>
      <xdr:colOff>206070</xdr:colOff>
      <xdr:row>4</xdr:row>
      <xdr:rowOff>231164</xdr:rowOff>
    </xdr:to>
    <xdr:sp macro="[0]!LoadGoalEntryForm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5A19E3CC-629D-4CDE-A602-F387F074CACA}"/>
            </a:ext>
          </a:extLst>
        </xdr:cNvPr>
        <xdr:cNvSpPr/>
      </xdr:nvSpPr>
      <xdr:spPr>
        <a:xfrm>
          <a:off x="2406345" y="677007"/>
          <a:ext cx="2152650" cy="60190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Create </a:t>
          </a:r>
        </a:p>
        <a:p>
          <a:pPr algn="ctr"/>
          <a:r>
            <a:rPr lang="en-US" sz="1400" b="1">
              <a:solidFill>
                <a:schemeClr val="bg1"/>
              </a:solidFill>
            </a:rPr>
            <a:t>New Goal</a:t>
          </a:r>
        </a:p>
      </xdr:txBody>
    </xdr:sp>
    <xdr:clientData/>
  </xdr:twoCellAnchor>
  <xdr:twoCellAnchor editAs="absolute">
    <xdr:from>
      <xdr:col>5</xdr:col>
      <xdr:colOff>376055</xdr:colOff>
      <xdr:row>2</xdr:row>
      <xdr:rowOff>10624</xdr:rowOff>
    </xdr:from>
    <xdr:to>
      <xdr:col>9</xdr:col>
      <xdr:colOff>90305</xdr:colOff>
      <xdr:row>4</xdr:row>
      <xdr:rowOff>231531</xdr:rowOff>
    </xdr:to>
    <xdr:sp macro="[0]!PopulateGoalAchievements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A9417230-5AED-492B-A839-43971B6C8332}"/>
            </a:ext>
          </a:extLst>
        </xdr:cNvPr>
        <xdr:cNvSpPr/>
      </xdr:nvSpPr>
      <xdr:spPr>
        <a:xfrm>
          <a:off x="4728980" y="677374"/>
          <a:ext cx="2152650" cy="601907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Recalc</a:t>
          </a:r>
          <a:r>
            <a:rPr lang="en-US" sz="1400" b="1" baseline="0">
              <a:solidFill>
                <a:schemeClr val="bg1"/>
              </a:solidFill>
            </a:rPr>
            <a:t>ulate Achievements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</xdr:row>
          <xdr:rowOff>66675</xdr:rowOff>
        </xdr:from>
        <xdr:to>
          <xdr:col>8</xdr:col>
          <xdr:colOff>371475</xdr:colOff>
          <xdr:row>3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4</xdr:row>
          <xdr:rowOff>28575</xdr:rowOff>
        </xdr:from>
        <xdr:to>
          <xdr:col>8</xdr:col>
          <xdr:colOff>323850</xdr:colOff>
          <xdr:row>6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133350</xdr:rowOff>
        </xdr:from>
        <xdr:to>
          <xdr:col>8</xdr:col>
          <xdr:colOff>323850</xdr:colOff>
          <xdr:row>10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Data Form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Walker" refreshedDate="44333.894406134263" createdVersion="7" refreshedVersion="7" minRefreshableVersion="3" recordCount="23" xr:uid="{06663743-CBFD-4976-A31F-22425A83666D}">
  <cacheSource type="worksheet">
    <worksheetSource name="GoalUnlocksTable"/>
  </cacheSource>
  <cacheFields count="5">
    <cacheField name="Date" numFmtId="14">
      <sharedItems containsSemiMixedTypes="0" containsNonDate="0" containsDate="1" containsString="0" minDate="2021-01-02T00:00:00" maxDate="2021-03-11T00:00:00" count="23">
        <d v="2021-03-10T00:00:00"/>
        <d v="2021-03-05T00:00:00"/>
        <d v="2021-02-27T00:00:00"/>
        <d v="2021-02-22T00:00:00"/>
        <d v="2021-02-17T00:00:00"/>
        <d v="2021-02-15T00:00:00"/>
        <d v="2021-02-10T00:00:00"/>
        <d v="2021-02-01T00:00:00"/>
        <d v="2021-01-25T00:00:00"/>
        <d v="2021-01-20T00:00:00"/>
        <d v="2021-01-19T00:00:00"/>
        <d v="2021-01-18T00:00:00"/>
        <d v="2021-01-17T00:00:00"/>
        <d v="2021-01-16T00:00:00"/>
        <d v="2021-01-14T00:00:00"/>
        <d v="2021-01-12T00:00:00"/>
        <d v="2021-01-11T00:00:00"/>
        <d v="2021-01-09T00:00:00"/>
        <d v="2021-01-08T00:00:00"/>
        <d v="2021-01-07T00:00:00"/>
        <d v="2021-01-04T00:00:00"/>
        <d v="2021-01-03T00:00:00"/>
        <d v="2021-01-02T00:00:00"/>
      </sharedItems>
      <fieldGroup par="4" base="0">
        <rangePr groupBy="days" startDate="2021-01-02T00:00:00" endDate="2021-03-11T00:00:00"/>
        <groupItems count="368">
          <s v="&lt;1/2/202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11/2021"/>
        </groupItems>
      </fieldGroup>
    </cacheField>
    <cacheField name="Miles" numFmtId="2">
      <sharedItems containsSemiMixedTypes="0" containsString="0" containsNumber="1" minValue="2.0999999046325684" maxValue="3.4500000476837158"/>
    </cacheField>
    <cacheField name="Minutes" numFmtId="1">
      <sharedItems containsSemiMixedTypes="0" containsString="0" containsNumber="1" containsInteger="1" minValue="25" maxValue="52"/>
    </cacheField>
    <cacheField name="Min/Mile" numFmtId="2">
      <sharedItems containsSemiMixedTypes="0" containsString="0" containsNumber="1" minValue="9.4637221697082961" maxValue="17.209301562229353"/>
    </cacheField>
    <cacheField name="Months" numFmtId="0" databaseField="0">
      <fieldGroup base="0">
        <rangePr groupBy="months" startDate="2021-01-02T00:00:00" endDate="2021-03-11T00:00:00"/>
        <groupItems count="14">
          <s v="&lt;1/2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1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Walker" refreshedDate="44333.894406134263" createdVersion="7" refreshedVersion="7" minRefreshableVersion="3" recordCount="71" xr:uid="{2DCE61D0-A3AE-4BA4-84D5-ED522CB6A4F2}">
  <cacheSource type="worksheet">
    <worksheetSource name="MasterDataTable"/>
  </cacheSource>
  <cacheFields count="8">
    <cacheField name="Date" numFmtId="14">
      <sharedItems containsSemiMixedTypes="0" containsNonDate="0" containsDate="1" containsString="0" minDate="2021-01-02T00:00:00" maxDate="2021-04-21T00:00:00" count="62"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5T00:00:00"/>
        <d v="2021-01-26T00:00:00"/>
        <d v="2021-02-01T00:00:00"/>
        <d v="2021-02-08T00:00:00"/>
        <d v="2021-02-10T00:00:00"/>
        <d v="2021-02-15T00:00:00"/>
        <d v="2021-02-17T00:00:00"/>
        <d v="2021-02-22T00:00:00"/>
        <d v="2021-02-26T00:00:00"/>
        <d v="2021-02-27T00:00:00"/>
        <d v="2021-03-02T00:00:00"/>
        <d v="2021-03-03T00:00:00"/>
        <d v="2021-03-04T00:00:00"/>
        <d v="2021-03-05T00:00:00"/>
        <d v="2021-03-09T00:00:00"/>
        <d v="2021-03-10T00:00:00"/>
        <d v="2021-03-14T00:00:00"/>
        <d v="2021-03-15T00:00:00"/>
        <d v="2021-03-16T00:00:00"/>
        <d v="2021-03-17T00:00:00"/>
        <d v="2021-03-20T00:00:00"/>
        <d v="2021-03-21T00:00:00"/>
        <d v="2021-03-22T00:00:00"/>
        <d v="2021-03-23T00:00:00"/>
        <d v="2021-03-27T00:00:00"/>
        <d v="2021-03-28T00:00:00"/>
        <d v="2021-03-29T00:00:00"/>
        <d v="2021-03-31T00:00:00"/>
        <d v="2021-04-02T00:00:00"/>
        <d v="2021-04-03T00:00:00"/>
        <d v="2021-04-06T00:00:00"/>
        <d v="2021-04-07T00:00:00"/>
        <d v="2021-04-08T00:00:00"/>
        <d v="2021-04-09T00:00:00"/>
        <d v="2021-04-10T00:00:00"/>
        <d v="2021-04-11T00:00:00"/>
        <d v="2021-04-13T00:00:00"/>
        <d v="2021-04-15T00:00:00"/>
        <d v="2021-04-16T00:00:00"/>
        <d v="2021-04-18T00:00:00"/>
        <d v="2021-04-19T00:00:00"/>
        <d v="2021-04-20T00:00:00"/>
      </sharedItems>
      <fieldGroup par="7" base="0">
        <rangePr groupBy="days" startDate="2021-01-02T00:00:00" endDate="2021-04-21T00:00:00"/>
        <groupItems count="368">
          <s v="&lt;1/2/202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21/2021"/>
        </groupItems>
      </fieldGroup>
    </cacheField>
    <cacheField name="Distance" numFmtId="2">
      <sharedItems containsSemiMixedTypes="0" containsString="0" containsNumber="1" minValue="0.21" maxValue="3.45"/>
    </cacheField>
    <cacheField name="Time (Mins)" numFmtId="1">
      <sharedItems containsSemiMixedTypes="0" containsString="0" containsNumber="1" containsInteger="1" minValue="4" maxValue="57"/>
    </cacheField>
    <cacheField name="Calories" numFmtId="1">
      <sharedItems containsSemiMixedTypes="0" containsString="0" containsNumber="1" containsInteger="1" minValue="24" maxValue="390"/>
    </cacheField>
    <cacheField name="Steps" numFmtId="1">
      <sharedItems containsSemiMixedTypes="0" containsString="0" containsNumber="1" containsInteger="1" minValue="325" maxValue="6266"/>
    </cacheField>
    <cacheField name="Time (Hours)" numFmtId="0" formula="'Time (Mins)'/60" databaseField="0"/>
    <cacheField name="MPM" numFmtId="0" formula="'Time (Mins)'/Distance" databaseField="0"/>
    <cacheField name="Months" numFmtId="0" databaseField="0">
      <fieldGroup base="0">
        <rangePr groupBy="months" startDate="2021-01-02T00:00:00" endDate="2021-04-21T00:00:00"/>
        <groupItems count="14">
          <s v="&lt;1/2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21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x v="0"/>
    <n v="3.2400000095367432"/>
    <n v="33"/>
    <n v="10.185185155205712"/>
  </r>
  <r>
    <x v="1"/>
    <n v="3.1700000762939453"/>
    <n v="30"/>
    <n v="9.4637221697082961"/>
  </r>
  <r>
    <x v="2"/>
    <n v="2.8199999332427979"/>
    <n v="36"/>
    <n v="12.765957749014051"/>
  </r>
  <r>
    <x v="3"/>
    <n v="3.4500000476837158"/>
    <n v="40"/>
    <n v="11.594202738302995"/>
  </r>
  <r>
    <x v="4"/>
    <n v="3.2799999713897705"/>
    <n v="40"/>
    <n v="12.195122057593061"/>
  </r>
  <r>
    <x v="5"/>
    <n v="3.1800000667572021"/>
    <n v="41"/>
    <n v="12.893081490344009"/>
  </r>
  <r>
    <x v="6"/>
    <n v="3.1800000667572021"/>
    <n v="48"/>
    <n v="15.094339305768598"/>
  </r>
  <r>
    <x v="7"/>
    <n v="3.190000057220459"/>
    <n v="44"/>
    <n v="13.793103200862792"/>
  </r>
  <r>
    <x v="8"/>
    <n v="3.1700000762939453"/>
    <n v="45"/>
    <n v="14.195583254562443"/>
  </r>
  <r>
    <x v="9"/>
    <n v="3.0499999523162842"/>
    <n v="52"/>
    <n v="17.04918059441583"/>
  </r>
  <r>
    <x v="10"/>
    <n v="3.3900001049041748"/>
    <n v="46"/>
    <n v="13.569321114018161"/>
  </r>
  <r>
    <x v="11"/>
    <n v="3.2899999618530273"/>
    <n v="42"/>
    <n v="12.765957594827549"/>
  </r>
  <r>
    <x v="12"/>
    <n v="3.3499999046325684"/>
    <n v="44"/>
    <n v="13.134328732115581"/>
  </r>
  <r>
    <x v="13"/>
    <n v="3.1600000858306885"/>
    <n v="43"/>
    <n v="13.60759456710468"/>
  </r>
  <r>
    <x v="14"/>
    <n v="3.119999885559082"/>
    <n v="43"/>
    <n v="13.782051787573929"/>
  </r>
  <r>
    <x v="15"/>
    <n v="3.2599999904632568"/>
    <n v="45"/>
    <n v="13.803681021976123"/>
  </r>
  <r>
    <x v="16"/>
    <n v="3.2200000286102295"/>
    <n v="46"/>
    <n v="14.285714158783366"/>
  </r>
  <r>
    <x v="17"/>
    <n v="3.190000057220459"/>
    <n v="46"/>
    <n v="14.420062437265646"/>
  </r>
  <r>
    <x v="18"/>
    <n v="2.1500000953674316"/>
    <n v="37"/>
    <n v="17.209301562229353"/>
  </r>
  <r>
    <x v="19"/>
    <n v="2.1500000953674316"/>
    <n v="28"/>
    <n v="13.023255236281672"/>
  </r>
  <r>
    <x v="20"/>
    <n v="3.130000114440918"/>
    <n v="48"/>
    <n v="15.335462698081653"/>
  </r>
  <r>
    <x v="21"/>
    <n v="2.0999999046325684"/>
    <n v="25"/>
    <n v="11.904762445393628"/>
  </r>
  <r>
    <x v="22"/>
    <n v="3.1800000667572021"/>
    <n v="45"/>
    <n v="14.15094309915805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">
  <r>
    <x v="0"/>
    <n v="3.18"/>
    <n v="45"/>
    <n v="359"/>
    <n v="5677"/>
  </r>
  <r>
    <x v="1"/>
    <n v="2.1"/>
    <n v="25"/>
    <n v="237"/>
    <n v="3344"/>
  </r>
  <r>
    <x v="1"/>
    <n v="2.0099999999999998"/>
    <n v="44"/>
    <n v="227"/>
    <n v="4527"/>
  </r>
  <r>
    <x v="2"/>
    <n v="3.13"/>
    <n v="48"/>
    <n v="354"/>
    <n v="6060"/>
  </r>
  <r>
    <x v="3"/>
    <n v="3.01"/>
    <n v="57"/>
    <n v="341"/>
    <n v="5925"/>
  </r>
  <r>
    <x v="4"/>
    <n v="1.26"/>
    <n v="31"/>
    <n v="142"/>
    <n v="2934"/>
  </r>
  <r>
    <x v="5"/>
    <n v="2.15"/>
    <n v="28"/>
    <n v="244"/>
    <n v="3619"/>
  </r>
  <r>
    <x v="6"/>
    <n v="2.15"/>
    <n v="37"/>
    <n v="243"/>
    <n v="4248"/>
  </r>
  <r>
    <x v="7"/>
    <n v="1"/>
    <n v="16"/>
    <n v="115"/>
    <n v="2105"/>
  </r>
  <r>
    <x v="7"/>
    <n v="0.25"/>
    <n v="4"/>
    <n v="70"/>
    <n v="325"/>
  </r>
  <r>
    <x v="7"/>
    <n v="0.81"/>
    <n v="10"/>
    <n v="92"/>
    <n v="1330"/>
  </r>
  <r>
    <x v="7"/>
    <n v="3.19"/>
    <n v="46"/>
    <n v="361"/>
    <n v="6260"/>
  </r>
  <r>
    <x v="8"/>
    <n v="1.0900000000000001"/>
    <n v="33"/>
    <n v="124"/>
    <n v="2918"/>
  </r>
  <r>
    <x v="9"/>
    <n v="3.22"/>
    <n v="46"/>
    <n v="364"/>
    <n v="6208"/>
  </r>
  <r>
    <x v="10"/>
    <n v="3.26"/>
    <n v="45"/>
    <n v="369"/>
    <n v="6161"/>
  </r>
  <r>
    <x v="11"/>
    <n v="2.11"/>
    <n v="47"/>
    <n v="236"/>
    <n v="4739"/>
  </r>
  <r>
    <x v="12"/>
    <n v="3.12"/>
    <n v="43"/>
    <n v="352"/>
    <n v="5950"/>
  </r>
  <r>
    <x v="13"/>
    <n v="1.53"/>
    <n v="31"/>
    <n v="174"/>
    <n v="3253"/>
  </r>
  <r>
    <x v="14"/>
    <n v="3.16"/>
    <n v="43"/>
    <n v="358"/>
    <n v="6033"/>
  </r>
  <r>
    <x v="15"/>
    <n v="3.35"/>
    <n v="44"/>
    <n v="379"/>
    <n v="6266"/>
  </r>
  <r>
    <x v="16"/>
    <n v="3.29"/>
    <n v="42"/>
    <n v="372"/>
    <n v="5897"/>
  </r>
  <r>
    <x v="17"/>
    <n v="3.39"/>
    <n v="46"/>
    <n v="383"/>
    <n v="6129"/>
  </r>
  <r>
    <x v="18"/>
    <n v="3.05"/>
    <n v="52"/>
    <n v="345"/>
    <n v="5921"/>
  </r>
  <r>
    <x v="19"/>
    <n v="1.51"/>
    <n v="21"/>
    <n v="171"/>
    <n v="2810"/>
  </r>
  <r>
    <x v="20"/>
    <n v="3.17"/>
    <n v="45"/>
    <n v="359"/>
    <n v="6097"/>
  </r>
  <r>
    <x v="21"/>
    <n v="1.27"/>
    <n v="20"/>
    <n v="143"/>
    <n v="2535"/>
  </r>
  <r>
    <x v="22"/>
    <n v="3.19"/>
    <n v="44"/>
    <n v="360"/>
    <n v="5943"/>
  </r>
  <r>
    <x v="23"/>
    <n v="1.34"/>
    <n v="22"/>
    <n v="152"/>
    <n v="2676"/>
  </r>
  <r>
    <x v="24"/>
    <n v="3.18"/>
    <n v="48"/>
    <n v="359"/>
    <n v="5749"/>
  </r>
  <r>
    <x v="25"/>
    <n v="3.18"/>
    <n v="41"/>
    <n v="360"/>
    <n v="3525"/>
  </r>
  <r>
    <x v="26"/>
    <n v="3.28"/>
    <n v="40"/>
    <n v="371"/>
    <n v="5450"/>
  </r>
  <r>
    <x v="27"/>
    <n v="3.45"/>
    <n v="40"/>
    <n v="390"/>
    <n v="5488"/>
  </r>
  <r>
    <x v="28"/>
    <n v="2.02"/>
    <n v="30"/>
    <n v="228"/>
    <n v="3572"/>
  </r>
  <r>
    <x v="29"/>
    <n v="2.82"/>
    <n v="36"/>
    <n v="319"/>
    <n v="4703"/>
  </r>
  <r>
    <x v="30"/>
    <n v="2.63"/>
    <n v="51"/>
    <n v="297"/>
    <n v="5332"/>
  </r>
  <r>
    <x v="31"/>
    <n v="1.1200000000000001"/>
    <n v="21"/>
    <n v="127"/>
    <n v="2220"/>
  </r>
  <r>
    <x v="32"/>
    <n v="1"/>
    <n v="26"/>
    <n v="113"/>
    <n v="2286"/>
  </r>
  <r>
    <x v="32"/>
    <n v="2"/>
    <n v="15"/>
    <n v="141"/>
    <n v="2397"/>
  </r>
  <r>
    <x v="33"/>
    <n v="3.17"/>
    <n v="30"/>
    <n v="361"/>
    <n v="4675"/>
  </r>
  <r>
    <x v="34"/>
    <n v="0.5"/>
    <n v="7"/>
    <n v="57"/>
    <n v="944"/>
  </r>
  <r>
    <x v="35"/>
    <n v="3.24"/>
    <n v="33"/>
    <n v="366"/>
    <n v="4931"/>
  </r>
  <r>
    <x v="36"/>
    <n v="1.1599999999999999"/>
    <n v="39"/>
    <n v="131"/>
    <n v="2991"/>
  </r>
  <r>
    <x v="37"/>
    <n v="1.26"/>
    <n v="31"/>
    <n v="143"/>
    <n v="2888"/>
  </r>
  <r>
    <x v="38"/>
    <n v="1.44"/>
    <n v="24"/>
    <n v="163"/>
    <n v="2751"/>
  </r>
  <r>
    <x v="39"/>
    <n v="1"/>
    <n v="22"/>
    <n v="113"/>
    <n v="2208"/>
  </r>
  <r>
    <x v="40"/>
    <n v="1.81"/>
    <n v="41"/>
    <n v="205"/>
    <n v="4068"/>
  </r>
  <r>
    <x v="41"/>
    <n v="1.23"/>
    <n v="27"/>
    <n v="139"/>
    <n v="2715"/>
  </r>
  <r>
    <x v="41"/>
    <n v="1.3"/>
    <n v="20"/>
    <n v="147"/>
    <n v="2340"/>
  </r>
  <r>
    <x v="42"/>
    <n v="1.18"/>
    <n v="23"/>
    <n v="133"/>
    <n v="2420"/>
  </r>
  <r>
    <x v="43"/>
    <n v="1.34"/>
    <n v="38"/>
    <n v="151"/>
    <n v="3441"/>
  </r>
  <r>
    <x v="44"/>
    <n v="2.42"/>
    <n v="45"/>
    <n v="274"/>
    <n v="5074"/>
  </r>
  <r>
    <x v="45"/>
    <n v="1.02"/>
    <n v="25"/>
    <n v="116"/>
    <n v="2287"/>
  </r>
  <r>
    <x v="46"/>
    <n v="1.1499999999999999"/>
    <n v="20"/>
    <n v="130"/>
    <n v="2417"/>
  </r>
  <r>
    <x v="47"/>
    <n v="2.21"/>
    <n v="40"/>
    <n v="250"/>
    <n v="4556"/>
  </r>
  <r>
    <x v="47"/>
    <n v="2.0499999999999998"/>
    <n v="31"/>
    <n v="228"/>
    <n v="3572"/>
  </r>
  <r>
    <x v="48"/>
    <n v="2.11"/>
    <n v="40"/>
    <n v="238"/>
    <n v="4382"/>
  </r>
  <r>
    <x v="49"/>
    <n v="1.01"/>
    <n v="18"/>
    <n v="114"/>
    <n v="2070"/>
  </r>
  <r>
    <x v="50"/>
    <n v="0.21"/>
    <n v="5"/>
    <n v="24"/>
    <n v="477"/>
  </r>
  <r>
    <x v="51"/>
    <n v="2.16"/>
    <n v="30"/>
    <n v="244"/>
    <n v="3909"/>
  </r>
  <r>
    <x v="52"/>
    <n v="0.56999999999999995"/>
    <n v="6"/>
    <n v="65"/>
    <n v="934"/>
  </r>
  <r>
    <x v="53"/>
    <n v="2.13"/>
    <n v="30"/>
    <n v="241"/>
    <n v="3929"/>
  </r>
  <r>
    <x v="54"/>
    <n v="2.2400000000000002"/>
    <n v="31"/>
    <n v="253"/>
    <n v="3956"/>
  </r>
  <r>
    <x v="55"/>
    <n v="1.51"/>
    <n v="45"/>
    <n v="170"/>
    <n v="3796"/>
  </r>
  <r>
    <x v="56"/>
    <n v="1.25"/>
    <n v="22"/>
    <n v="164"/>
    <n v="2736"/>
  </r>
  <r>
    <x v="57"/>
    <n v="1.45"/>
    <n v="17"/>
    <n v="180"/>
    <n v="2810"/>
  </r>
  <r>
    <x v="58"/>
    <n v="1.56"/>
    <n v="32"/>
    <n v="176"/>
    <n v="3185"/>
  </r>
  <r>
    <x v="59"/>
    <n v="1.02"/>
    <n v="26"/>
    <n v="116"/>
    <n v="2329"/>
  </r>
  <r>
    <x v="60"/>
    <n v="1.38"/>
    <n v="36"/>
    <n v="156"/>
    <n v="3096"/>
  </r>
  <r>
    <x v="60"/>
    <n v="1.28"/>
    <n v="38"/>
    <n v="144"/>
    <n v="3022"/>
  </r>
  <r>
    <x v="61"/>
    <n v="1.1399999999999999"/>
    <n v="18"/>
    <n v="129"/>
    <n v="2049"/>
  </r>
  <r>
    <x v="61"/>
    <n v="0.45"/>
    <n v="10"/>
    <n v="51"/>
    <n v="8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246E6A-F1B6-43F8-A018-752CD085EE3D}" name="DistancePivotTable" cacheId="12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1:B6" firstHeaderRow="1" firstDataRow="1" firstDataCol="1"/>
  <pivotFields count="8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2" showAll="0"/>
    <pivotField numFmtId="1" showAll="0"/>
    <pivotField numFmtId="1" showAll="0"/>
    <pivotField numFmtId="1"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0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Distance" fld="1" baseField="0" baseItem="10"/>
  </dataFields>
  <chartFormats count="1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FAB32-1F30-4D63-9348-32CF1C092185}" name="PivotTable1" cacheId="12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S1:T5" firstHeaderRow="1" firstDataRow="1" firstDataCol="1"/>
  <pivotFields count="5">
    <pivotField axis="axisRow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numFmtId="2" showAll="0"/>
    <pivotField numFmtId="1" showAll="0"/>
    <pivotField dataField="1" numFmtId="2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4"/>
    <field x="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Count of Min/Mile" fld="3" subtotal="count" baseField="0" baseItem="10"/>
  </dataFields>
  <chartFormats count="1">
    <chartFormat chart="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69017A-5D7C-4952-8DC8-CAC21510D283}" name="PivotTable5" cacheId="12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P1:Q6" firstHeaderRow="1" firstDataRow="1" firstDataCol="1"/>
  <pivotFields count="8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/>
    <pivotField numFmtId="1" showAll="0"/>
    <pivotField numFmtId="1" showAll="0"/>
    <pivotField numFmtId="1" showAll="0"/>
    <pivotField dragToRow="0" dragToCol="0" dragToPage="0" showAll="0" defaultSubtotal="0"/>
    <pivotField dataField="1"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0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MPM" fld="6" baseField="0" baseItem="0"/>
  </dataFields>
  <chartFormats count="1">
    <chartFormat chart="0" format="1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D36F08-BDF4-4E9C-BAE4-B7D1C3EDAA67}" name="PivotTable4" cacheId="12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M1:N6" firstHeaderRow="1" firstDataRow="1" firstDataCol="1"/>
  <pivotFields count="8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/>
    <pivotField numFmtId="1" showAll="0"/>
    <pivotField numFmtId="1" showAll="0"/>
    <pivotField dataField="1" numFmtId="1"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0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teps" fld="4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DD2BFC-2A8C-41A0-9381-39BC7A9BB254}" name="PivotTable3" cacheId="12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I1:J6" firstHeaderRow="1" firstDataRow="1" firstDataCol="1"/>
  <pivotFields count="8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/>
    <pivotField numFmtId="1" showAll="0"/>
    <pivotField dataField="1" numFmtId="1" showAll="0"/>
    <pivotField numFmtId="1"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0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Calories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C2DFAC-2391-425E-82D3-6C5912B94948}" name="PivotTable2" cacheId="12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E1:G6" firstHeaderRow="0" firstDataRow="1" firstDataCol="1"/>
  <pivotFields count="8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/>
    <pivotField dataField="1" numFmtId="1" showAll="0"/>
    <pivotField numFmtId="1" showAll="0"/>
    <pivotField numFmtId="1" showAll="0"/>
    <pivotField dataField="1"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0"/>
  </rowFields>
  <rowItems count="5"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ime (Hours)" fld="5" baseField="0" baseItem="0" numFmtId="1"/>
    <dataField name="Average of Time (Mins)" fld="2" subtotal="average" baseField="0" baseItem="1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425BA4-4DAA-4C25-9037-606CDBFA5934}" name="GoalUnlocksTable" displayName="GoalUnlocksTable" ref="P7:S30" totalsRowShown="0" headerRowDxfId="18" dataDxfId="17">
  <autoFilter ref="P7:S30" xr:uid="{2DC2E1C9-BED9-47FE-9CA9-8450E73A7A41}"/>
  <tableColumns count="4">
    <tableColumn id="1" xr3:uid="{5A55B867-A550-45CF-AABE-37478AFEBA8D}" name="Date" dataDxfId="0"/>
    <tableColumn id="2" xr3:uid="{D6C55F8A-C43A-44B9-991E-9493039EF268}" name="Miles" dataDxfId="16"/>
    <tableColumn id="3" xr3:uid="{02511F80-BC4C-477F-A655-262F65ED9686}" name="Minutes" dataDxfId="15"/>
    <tableColumn id="4" xr3:uid="{94982CE9-D51F-41F2-9968-6CDBF1A128B2}" name="Min/Mile" dataDxfId="14">
      <calculatedColumnFormula>GoalUnlocksTable[[#This Row],[Minutes]]/GoalUnlocksTable[[#This Row],[Miles]]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0473FE3-AC0A-4029-B213-FDBE8F4BCF13}" name="GoalSetsTable" displayName="GoalSetsTable" ref="U7:X12" totalsRowShown="0" headerRowDxfId="13" dataDxfId="12">
  <autoFilter ref="U7:X12" xr:uid="{2D15F289-BF74-4C62-A891-EB586B10C1B1}"/>
  <tableColumns count="4">
    <tableColumn id="1" xr3:uid="{C9178B14-4E4A-4C3B-824D-E13361A8EFC9}" name="Set Date" dataDxfId="11"/>
    <tableColumn id="2" xr3:uid="{DF7B696B-00A0-421A-BC7B-9E8B8DDA0910}" name="Miles" dataDxfId="10"/>
    <tableColumn id="3" xr3:uid="{0965688A-E067-49D7-AD11-00D3ECE60B4B}" name="Minutes" dataDxfId="9"/>
    <tableColumn id="4" xr3:uid="{F50F1052-5845-4A2D-8A3A-9BA2E43E036F}" name="Min/Mile" dataDxfId="8">
      <calculatedColumnFormula>GoalSetsTable[[#This Row],[Minutes]]/GoalSetsTable[[#This Row],[Miles]]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494E74-A8A2-489C-ADB9-B0EA7C9BB072}" name="MasterDataTable" displayName="MasterDataTable" ref="A1:E72" totalsRowShown="0" headerRowDxfId="7" dataDxfId="6" headerRowCellStyle="Normal" dataCellStyle="Normal">
  <autoFilter ref="A1:E72" xr:uid="{9415ECDB-A660-4040-9ED5-E4A2F87C1FF1}"/>
  <tableColumns count="5">
    <tableColumn id="1" xr3:uid="{CD441949-09F4-404C-ADC6-46142E88C43F}" name="Date" dataDxfId="5" dataCellStyle="Normal"/>
    <tableColumn id="2" xr3:uid="{354EEFD6-3A23-4604-8C3F-EEA5629EF64B}" name="Distance" dataDxfId="4" dataCellStyle="Normal"/>
    <tableColumn id="3" xr3:uid="{528CAAA9-4F1B-48A1-B9AB-205DC5155A79}" name="Time (Mins)" dataDxfId="3" dataCellStyle="Normal"/>
    <tableColumn id="4" xr3:uid="{BF4531C9-1163-4A24-85DC-03EBBF4B0965}" name="Calories" dataDxfId="2" dataCellStyle="Normal"/>
    <tableColumn id="5" xr3:uid="{4A7F7040-8DB1-4543-A00B-3C3647A60694}" name="Steps" dataDxfId="1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799B-733F-46E3-9A0D-BE0E5493A721}">
  <sheetPr codeName="Dashboard"/>
  <dimension ref="A1:X45"/>
  <sheetViews>
    <sheetView showGridLines="0" tabSelected="1" zoomScaleNormal="100" workbookViewId="0">
      <selection activeCell="S1" sqref="S1"/>
    </sheetView>
  </sheetViews>
  <sheetFormatPr defaultRowHeight="15" x14ac:dyDescent="0.25"/>
  <cols>
    <col min="1" max="1" width="13.140625" style="13" bestFit="1" customWidth="1"/>
    <col min="2" max="2" width="15.28515625" style="13" bestFit="1" customWidth="1"/>
    <col min="3" max="3" width="18.5703125" style="13" bestFit="1" customWidth="1"/>
    <col min="4" max="4" width="9.140625" style="13" customWidth="1"/>
    <col min="5" max="14" width="9.140625" style="13"/>
    <col min="15" max="15" width="7.5703125" style="13" customWidth="1"/>
    <col min="16" max="19" width="11.5703125" style="13" customWidth="1"/>
    <col min="20" max="20" width="2.28515625" style="13" customWidth="1"/>
    <col min="21" max="24" width="11.5703125" style="13" customWidth="1"/>
    <col min="25" max="16384" width="9.140625" style="13"/>
  </cols>
  <sheetData>
    <row r="1" spans="1:24" ht="36.75" thickBot="1" x14ac:dyDescent="0.6">
      <c r="A1" s="16" t="s">
        <v>23</v>
      </c>
      <c r="B1" s="16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</row>
    <row r="2" spans="1:24" ht="15.75" thickTop="1" x14ac:dyDescent="0.25"/>
    <row r="5" spans="1:24" ht="21" x14ac:dyDescent="0.25">
      <c r="P5" s="14" t="s">
        <v>16</v>
      </c>
      <c r="Q5" s="14"/>
      <c r="R5" s="14"/>
      <c r="S5" s="14"/>
      <c r="U5" s="14" t="s">
        <v>17</v>
      </c>
      <c r="V5" s="14"/>
      <c r="W5" s="14"/>
      <c r="X5" s="14"/>
    </row>
    <row r="7" spans="1:24" x14ac:dyDescent="0.25">
      <c r="P7" s="13" t="s">
        <v>0</v>
      </c>
      <c r="Q7" s="13" t="s">
        <v>19</v>
      </c>
      <c r="R7" s="13" t="s">
        <v>20</v>
      </c>
      <c r="S7" s="13" t="s">
        <v>18</v>
      </c>
      <c r="U7" s="13" t="s">
        <v>15</v>
      </c>
      <c r="V7" s="13" t="s">
        <v>19</v>
      </c>
      <c r="W7" s="13" t="s">
        <v>20</v>
      </c>
      <c r="X7" s="13" t="s">
        <v>18</v>
      </c>
    </row>
    <row r="8" spans="1:24" x14ac:dyDescent="0.25">
      <c r="P8" s="3">
        <v>44265</v>
      </c>
      <c r="Q8" s="8">
        <v>3.2400000095367432</v>
      </c>
      <c r="R8" s="9">
        <v>33</v>
      </c>
      <c r="S8" s="8">
        <f>GoalUnlocksTable[[#This Row],[Minutes]]/GoalUnlocksTable[[#This Row],[Miles]]</f>
        <v>10.185185155205712</v>
      </c>
      <c r="U8" s="3">
        <v>44317</v>
      </c>
      <c r="V8" s="8">
        <v>3</v>
      </c>
      <c r="W8" s="9">
        <v>35</v>
      </c>
      <c r="X8" s="8">
        <f>GoalSetsTable[[#This Row],[Minutes]]/GoalSetsTable[[#This Row],[Miles]]</f>
        <v>11.666666666666666</v>
      </c>
    </row>
    <row r="9" spans="1:24" x14ac:dyDescent="0.25">
      <c r="P9" s="3">
        <v>44260</v>
      </c>
      <c r="Q9" s="8">
        <v>3.1700000762939453</v>
      </c>
      <c r="R9" s="9">
        <v>30</v>
      </c>
      <c r="S9" s="8">
        <f>GoalUnlocksTable[[#This Row],[Minutes]]/GoalUnlocksTable[[#This Row],[Miles]]</f>
        <v>9.4637221697082961</v>
      </c>
      <c r="U9" s="3">
        <v>44287</v>
      </c>
      <c r="V9" s="8">
        <v>2.75</v>
      </c>
      <c r="W9" s="9">
        <v>35</v>
      </c>
      <c r="X9" s="8">
        <f>GoalSetsTable[[#This Row],[Minutes]]/GoalSetsTable[[#This Row],[Miles]]</f>
        <v>12.727272727272727</v>
      </c>
    </row>
    <row r="10" spans="1:24" x14ac:dyDescent="0.25">
      <c r="P10" s="3">
        <v>44254</v>
      </c>
      <c r="Q10" s="8">
        <v>2.8199999332427979</v>
      </c>
      <c r="R10" s="9">
        <v>36</v>
      </c>
      <c r="S10" s="8">
        <f>GoalUnlocksTable[[#This Row],[Minutes]]/GoalUnlocksTable[[#This Row],[Miles]]</f>
        <v>12.765957749014051</v>
      </c>
      <c r="U10" s="3">
        <v>44256</v>
      </c>
      <c r="V10" s="8">
        <v>2.5</v>
      </c>
      <c r="W10" s="9">
        <v>35</v>
      </c>
      <c r="X10" s="8">
        <f>GoalSetsTable[[#This Row],[Minutes]]/GoalSetsTable[[#This Row],[Miles]]</f>
        <v>14</v>
      </c>
    </row>
    <row r="11" spans="1:24" x14ac:dyDescent="0.25">
      <c r="P11" s="3">
        <v>44249</v>
      </c>
      <c r="Q11" s="8">
        <v>3.4500000476837158</v>
      </c>
      <c r="R11" s="9">
        <v>40</v>
      </c>
      <c r="S11" s="8">
        <f>GoalUnlocksTable[[#This Row],[Minutes]]/GoalUnlocksTable[[#This Row],[Miles]]</f>
        <v>11.594202738302995</v>
      </c>
      <c r="U11" s="3">
        <v>44228</v>
      </c>
      <c r="V11" s="8">
        <v>2.25</v>
      </c>
      <c r="W11" s="9">
        <v>35</v>
      </c>
      <c r="X11" s="8">
        <f>GoalSetsTable[[#This Row],[Minutes]]/GoalSetsTable[[#This Row],[Miles]]</f>
        <v>15.555555555555555</v>
      </c>
    </row>
    <row r="12" spans="1:24" x14ac:dyDescent="0.25">
      <c r="P12" s="3">
        <v>44244</v>
      </c>
      <c r="Q12" s="8">
        <v>3.2799999713897705</v>
      </c>
      <c r="R12" s="9">
        <v>40</v>
      </c>
      <c r="S12" s="8">
        <f>GoalUnlocksTable[[#This Row],[Minutes]]/GoalUnlocksTable[[#This Row],[Miles]]</f>
        <v>12.195122057593061</v>
      </c>
      <c r="U12" s="3">
        <v>44197</v>
      </c>
      <c r="V12" s="8">
        <v>2</v>
      </c>
      <c r="W12" s="9">
        <v>35</v>
      </c>
      <c r="X12" s="8">
        <f>GoalSetsTable[[#This Row],[Minutes]]/GoalSetsTable[[#This Row],[Miles]]</f>
        <v>17.5</v>
      </c>
    </row>
    <row r="13" spans="1:24" x14ac:dyDescent="0.25">
      <c r="P13" s="3">
        <v>44242</v>
      </c>
      <c r="Q13" s="8">
        <v>3.1800000667572021</v>
      </c>
      <c r="R13" s="9">
        <v>41</v>
      </c>
      <c r="S13" s="8">
        <f>GoalUnlocksTable[[#This Row],[Minutes]]/GoalUnlocksTable[[#This Row],[Miles]]</f>
        <v>12.893081490344009</v>
      </c>
    </row>
    <row r="14" spans="1:24" x14ac:dyDescent="0.25">
      <c r="P14" s="3">
        <v>44237</v>
      </c>
      <c r="Q14" s="8">
        <v>3.1800000667572021</v>
      </c>
      <c r="R14" s="9">
        <v>48</v>
      </c>
      <c r="S14" s="8">
        <f>GoalUnlocksTable[[#This Row],[Minutes]]/GoalUnlocksTable[[#This Row],[Miles]]</f>
        <v>15.094339305768598</v>
      </c>
    </row>
    <row r="15" spans="1:24" x14ac:dyDescent="0.25">
      <c r="P15" s="3">
        <v>44228</v>
      </c>
      <c r="Q15" s="8">
        <v>3.190000057220459</v>
      </c>
      <c r="R15" s="9">
        <v>44</v>
      </c>
      <c r="S15" s="8">
        <f>GoalUnlocksTable[[#This Row],[Minutes]]/GoalUnlocksTable[[#This Row],[Miles]]</f>
        <v>13.793103200862792</v>
      </c>
    </row>
    <row r="16" spans="1:24" x14ac:dyDescent="0.25">
      <c r="P16" s="3">
        <v>44221</v>
      </c>
      <c r="Q16" s="8">
        <v>3.1700000762939453</v>
      </c>
      <c r="R16" s="9">
        <v>45</v>
      </c>
      <c r="S16" s="8">
        <f>GoalUnlocksTable[[#This Row],[Minutes]]/GoalUnlocksTable[[#This Row],[Miles]]</f>
        <v>14.195583254562443</v>
      </c>
    </row>
    <row r="17" spans="16:24" x14ac:dyDescent="0.25">
      <c r="P17" s="3">
        <v>44216</v>
      </c>
      <c r="Q17" s="8">
        <v>3.0499999523162842</v>
      </c>
      <c r="R17" s="9">
        <v>52</v>
      </c>
      <c r="S17" s="8">
        <f>GoalUnlocksTable[[#This Row],[Minutes]]/GoalUnlocksTable[[#This Row],[Miles]]</f>
        <v>17.04918059441583</v>
      </c>
    </row>
    <row r="18" spans="16:24" x14ac:dyDescent="0.25">
      <c r="P18" s="3">
        <v>44215</v>
      </c>
      <c r="Q18" s="8">
        <v>3.3900001049041748</v>
      </c>
      <c r="R18" s="9">
        <v>46</v>
      </c>
      <c r="S18" s="8">
        <f>GoalUnlocksTable[[#This Row],[Minutes]]/GoalUnlocksTable[[#This Row],[Miles]]</f>
        <v>13.569321114018161</v>
      </c>
    </row>
    <row r="19" spans="16:24" x14ac:dyDescent="0.25">
      <c r="P19" s="3">
        <v>44214</v>
      </c>
      <c r="Q19" s="8">
        <v>3.2899999618530273</v>
      </c>
      <c r="R19" s="9">
        <v>42</v>
      </c>
      <c r="S19" s="8">
        <f>GoalUnlocksTable[[#This Row],[Minutes]]/GoalUnlocksTable[[#This Row],[Miles]]</f>
        <v>12.765957594827549</v>
      </c>
    </row>
    <row r="20" spans="16:24" x14ac:dyDescent="0.25">
      <c r="P20" s="3">
        <v>44213</v>
      </c>
      <c r="Q20" s="8">
        <v>3.3499999046325684</v>
      </c>
      <c r="R20" s="9">
        <v>44</v>
      </c>
      <c r="S20" s="8">
        <f>GoalUnlocksTable[[#This Row],[Minutes]]/GoalUnlocksTable[[#This Row],[Miles]]</f>
        <v>13.134328732115581</v>
      </c>
    </row>
    <row r="21" spans="16:24" x14ac:dyDescent="0.25">
      <c r="P21" s="3">
        <v>44212</v>
      </c>
      <c r="Q21" s="8">
        <v>3.1600000858306885</v>
      </c>
      <c r="R21" s="9">
        <v>43</v>
      </c>
      <c r="S21" s="8">
        <f>GoalUnlocksTable[[#This Row],[Minutes]]/GoalUnlocksTable[[#This Row],[Miles]]</f>
        <v>13.60759456710468</v>
      </c>
    </row>
    <row r="22" spans="16:24" x14ac:dyDescent="0.25">
      <c r="P22" s="3">
        <v>44210</v>
      </c>
      <c r="Q22" s="8">
        <v>3.119999885559082</v>
      </c>
      <c r="R22" s="9">
        <v>43</v>
      </c>
      <c r="S22" s="8">
        <f>GoalUnlocksTable[[#This Row],[Minutes]]/GoalUnlocksTable[[#This Row],[Miles]]</f>
        <v>13.782051787573929</v>
      </c>
    </row>
    <row r="23" spans="16:24" x14ac:dyDescent="0.25">
      <c r="P23" s="3">
        <v>44208</v>
      </c>
      <c r="Q23" s="8">
        <v>3.2599999904632568</v>
      </c>
      <c r="R23" s="9">
        <v>45</v>
      </c>
      <c r="S23" s="8">
        <f>GoalUnlocksTable[[#This Row],[Minutes]]/GoalUnlocksTable[[#This Row],[Miles]]</f>
        <v>13.803681021976123</v>
      </c>
    </row>
    <row r="24" spans="16:24" x14ac:dyDescent="0.25">
      <c r="P24" s="3">
        <v>44207</v>
      </c>
      <c r="Q24" s="8">
        <v>3.2200000286102295</v>
      </c>
      <c r="R24" s="9">
        <v>46</v>
      </c>
      <c r="S24" s="8">
        <f>GoalUnlocksTable[[#This Row],[Minutes]]/GoalUnlocksTable[[#This Row],[Miles]]</f>
        <v>14.285714158783366</v>
      </c>
    </row>
    <row r="25" spans="16:24" x14ac:dyDescent="0.25">
      <c r="P25" s="3">
        <v>44205</v>
      </c>
      <c r="Q25" s="8">
        <v>3.190000057220459</v>
      </c>
      <c r="R25" s="9">
        <v>46</v>
      </c>
      <c r="S25" s="8">
        <f>GoalUnlocksTable[[#This Row],[Minutes]]/GoalUnlocksTable[[#This Row],[Miles]]</f>
        <v>14.420062437265646</v>
      </c>
    </row>
    <row r="26" spans="16:24" x14ac:dyDescent="0.25">
      <c r="P26" s="3">
        <v>44204</v>
      </c>
      <c r="Q26" s="8">
        <v>2.1500000953674316</v>
      </c>
      <c r="R26" s="9">
        <v>37</v>
      </c>
      <c r="S26" s="8">
        <f>GoalUnlocksTable[[#This Row],[Minutes]]/GoalUnlocksTable[[#This Row],[Miles]]</f>
        <v>17.209301562229353</v>
      </c>
    </row>
    <row r="27" spans="16:24" x14ac:dyDescent="0.25">
      <c r="P27" s="3">
        <v>44203</v>
      </c>
      <c r="Q27" s="8">
        <v>2.1500000953674316</v>
      </c>
      <c r="R27" s="9">
        <v>28</v>
      </c>
      <c r="S27" s="8">
        <f>GoalUnlocksTable[[#This Row],[Minutes]]/GoalUnlocksTable[[#This Row],[Miles]]</f>
        <v>13.023255236281672</v>
      </c>
    </row>
    <row r="28" spans="16:24" x14ac:dyDescent="0.25">
      <c r="P28" s="3">
        <v>44200</v>
      </c>
      <c r="Q28" s="8">
        <v>3.130000114440918</v>
      </c>
      <c r="R28" s="9">
        <v>48</v>
      </c>
      <c r="S28" s="8">
        <f>GoalUnlocksTable[[#This Row],[Minutes]]/GoalUnlocksTable[[#This Row],[Miles]]</f>
        <v>15.335462698081653</v>
      </c>
      <c r="U28" s="3"/>
      <c r="V28" s="8"/>
      <c r="W28" s="9"/>
      <c r="X28" s="8"/>
    </row>
    <row r="29" spans="16:24" x14ac:dyDescent="0.25">
      <c r="P29" s="3">
        <v>44199</v>
      </c>
      <c r="Q29" s="8">
        <v>2.0999999046325684</v>
      </c>
      <c r="R29" s="9">
        <v>25</v>
      </c>
      <c r="S29" s="8">
        <f>GoalUnlocksTable[[#This Row],[Minutes]]/GoalUnlocksTable[[#This Row],[Miles]]</f>
        <v>11.904762445393628</v>
      </c>
      <c r="U29" s="3"/>
      <c r="V29" s="8"/>
      <c r="W29" s="9"/>
      <c r="X29" s="8"/>
    </row>
    <row r="30" spans="16:24" x14ac:dyDescent="0.25">
      <c r="P30" s="3">
        <v>44198</v>
      </c>
      <c r="Q30" s="8">
        <v>3.1800000667572021</v>
      </c>
      <c r="R30" s="9">
        <v>45</v>
      </c>
      <c r="S30" s="8">
        <f>GoalUnlocksTable[[#This Row],[Minutes]]/GoalUnlocksTable[[#This Row],[Miles]]</f>
        <v>14.150943099158059</v>
      </c>
    </row>
    <row r="40" spans="1:1" x14ac:dyDescent="0.25">
      <c r="A40" s="3"/>
    </row>
    <row r="45" spans="1:1" x14ac:dyDescent="0.25">
      <c r="A45" s="3"/>
    </row>
  </sheetData>
  <mergeCells count="2">
    <mergeCell ref="P5:S5"/>
    <mergeCell ref="U5:X5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6DC6D-B632-491D-ACDF-B4C6DF7147FD}">
  <sheetPr codeName="MasterDataSheet"/>
  <dimension ref="A1:E72"/>
  <sheetViews>
    <sheetView workbookViewId="0">
      <selection activeCell="A52" sqref="A52"/>
    </sheetView>
  </sheetViews>
  <sheetFormatPr defaultRowHeight="15" x14ac:dyDescent="0.25"/>
  <cols>
    <col min="1" max="1" width="17.85546875" style="2" customWidth="1"/>
    <col min="2" max="2" width="17.85546875" style="1" customWidth="1"/>
    <col min="3" max="3" width="20.85546875" style="1" customWidth="1"/>
    <col min="4" max="5" width="17.85546875" style="1" customWidth="1"/>
  </cols>
  <sheetData>
    <row r="1" spans="1:5" s="6" customFormat="1" ht="18.75" x14ac:dyDescent="0.3">
      <c r="A1" s="4" t="s">
        <v>0</v>
      </c>
      <c r="B1" s="5" t="s">
        <v>1</v>
      </c>
      <c r="C1" s="5" t="s">
        <v>4</v>
      </c>
      <c r="D1" s="5" t="s">
        <v>2</v>
      </c>
      <c r="E1" s="5" t="s">
        <v>3</v>
      </c>
    </row>
    <row r="2" spans="1:5" x14ac:dyDescent="0.25">
      <c r="A2" s="3">
        <v>44198</v>
      </c>
      <c r="B2" s="8">
        <v>3.18</v>
      </c>
      <c r="C2" s="9">
        <v>45</v>
      </c>
      <c r="D2" s="9">
        <v>359</v>
      </c>
      <c r="E2" s="9">
        <v>5677</v>
      </c>
    </row>
    <row r="3" spans="1:5" x14ac:dyDescent="0.25">
      <c r="A3" s="3">
        <v>44199</v>
      </c>
      <c r="B3" s="8">
        <v>2.1</v>
      </c>
      <c r="C3" s="9">
        <v>25</v>
      </c>
      <c r="D3" s="9">
        <v>237</v>
      </c>
      <c r="E3" s="9">
        <v>3344</v>
      </c>
    </row>
    <row r="4" spans="1:5" x14ac:dyDescent="0.25">
      <c r="A4" s="3">
        <v>44199</v>
      </c>
      <c r="B4" s="8">
        <v>2.0099999999999998</v>
      </c>
      <c r="C4" s="9">
        <v>44</v>
      </c>
      <c r="D4" s="9">
        <v>227</v>
      </c>
      <c r="E4" s="9">
        <v>4527</v>
      </c>
    </row>
    <row r="5" spans="1:5" x14ac:dyDescent="0.25">
      <c r="A5" s="3">
        <v>44200</v>
      </c>
      <c r="B5" s="8">
        <v>3.13</v>
      </c>
      <c r="C5" s="9">
        <v>48</v>
      </c>
      <c r="D5" s="9">
        <v>354</v>
      </c>
      <c r="E5" s="9">
        <v>6060</v>
      </c>
    </row>
    <row r="6" spans="1:5" x14ac:dyDescent="0.25">
      <c r="A6" s="3">
        <v>44201</v>
      </c>
      <c r="B6" s="8">
        <v>3.01</v>
      </c>
      <c r="C6" s="9">
        <v>57</v>
      </c>
      <c r="D6" s="9">
        <v>341</v>
      </c>
      <c r="E6" s="9">
        <v>5925</v>
      </c>
    </row>
    <row r="7" spans="1:5" x14ac:dyDescent="0.25">
      <c r="A7" s="3">
        <v>44202</v>
      </c>
      <c r="B7" s="8">
        <v>1.26</v>
      </c>
      <c r="C7" s="9">
        <v>31</v>
      </c>
      <c r="D7" s="9">
        <v>142</v>
      </c>
      <c r="E7" s="9">
        <v>2934</v>
      </c>
    </row>
    <row r="8" spans="1:5" x14ac:dyDescent="0.25">
      <c r="A8" s="3">
        <v>44203</v>
      </c>
      <c r="B8" s="8">
        <v>2.15</v>
      </c>
      <c r="C8" s="9">
        <v>28</v>
      </c>
      <c r="D8" s="9">
        <v>244</v>
      </c>
      <c r="E8" s="9">
        <v>3619</v>
      </c>
    </row>
    <row r="9" spans="1:5" x14ac:dyDescent="0.25">
      <c r="A9" s="3">
        <v>44204</v>
      </c>
      <c r="B9" s="8">
        <v>2.15</v>
      </c>
      <c r="C9" s="9">
        <v>37</v>
      </c>
      <c r="D9" s="9">
        <v>243</v>
      </c>
      <c r="E9" s="9">
        <v>4248</v>
      </c>
    </row>
    <row r="10" spans="1:5" x14ac:dyDescent="0.25">
      <c r="A10" s="3">
        <v>44205</v>
      </c>
      <c r="B10" s="8">
        <v>1</v>
      </c>
      <c r="C10" s="9">
        <v>16</v>
      </c>
      <c r="D10" s="9">
        <v>115</v>
      </c>
      <c r="E10" s="9">
        <v>2105</v>
      </c>
    </row>
    <row r="11" spans="1:5" x14ac:dyDescent="0.25">
      <c r="A11" s="3">
        <v>44205</v>
      </c>
      <c r="B11" s="8">
        <v>0.25</v>
      </c>
      <c r="C11" s="9">
        <v>4</v>
      </c>
      <c r="D11" s="9">
        <v>70</v>
      </c>
      <c r="E11" s="9">
        <v>325</v>
      </c>
    </row>
    <row r="12" spans="1:5" x14ac:dyDescent="0.25">
      <c r="A12" s="3">
        <v>44205</v>
      </c>
      <c r="B12" s="8">
        <v>0.81</v>
      </c>
      <c r="C12" s="9">
        <v>10</v>
      </c>
      <c r="D12" s="9">
        <v>92</v>
      </c>
      <c r="E12" s="9">
        <v>1330</v>
      </c>
    </row>
    <row r="13" spans="1:5" x14ac:dyDescent="0.25">
      <c r="A13" s="3">
        <v>44205</v>
      </c>
      <c r="B13" s="8">
        <v>3.19</v>
      </c>
      <c r="C13" s="9">
        <v>46</v>
      </c>
      <c r="D13" s="9">
        <v>361</v>
      </c>
      <c r="E13" s="9">
        <v>6260</v>
      </c>
    </row>
    <row r="14" spans="1:5" x14ac:dyDescent="0.25">
      <c r="A14" s="3">
        <v>44206</v>
      </c>
      <c r="B14" s="8">
        <v>1.0900000000000001</v>
      </c>
      <c r="C14" s="9">
        <v>33</v>
      </c>
      <c r="D14" s="9">
        <v>124</v>
      </c>
      <c r="E14" s="9">
        <v>2918</v>
      </c>
    </row>
    <row r="15" spans="1:5" x14ac:dyDescent="0.25">
      <c r="A15" s="3">
        <v>44207</v>
      </c>
      <c r="B15" s="8">
        <v>3.22</v>
      </c>
      <c r="C15" s="9">
        <v>46</v>
      </c>
      <c r="D15" s="9">
        <v>364</v>
      </c>
      <c r="E15" s="9">
        <v>6208</v>
      </c>
    </row>
    <row r="16" spans="1:5" x14ac:dyDescent="0.25">
      <c r="A16" s="3">
        <v>44208</v>
      </c>
      <c r="B16" s="8">
        <v>3.26</v>
      </c>
      <c r="C16" s="9">
        <v>45</v>
      </c>
      <c r="D16" s="9">
        <v>369</v>
      </c>
      <c r="E16" s="9">
        <v>6161</v>
      </c>
    </row>
    <row r="17" spans="1:5" x14ac:dyDescent="0.25">
      <c r="A17" s="3">
        <v>44209</v>
      </c>
      <c r="B17" s="8">
        <v>2.11</v>
      </c>
      <c r="C17" s="9">
        <v>47</v>
      </c>
      <c r="D17" s="9">
        <v>236</v>
      </c>
      <c r="E17" s="9">
        <v>4739</v>
      </c>
    </row>
    <row r="18" spans="1:5" x14ac:dyDescent="0.25">
      <c r="A18" s="3">
        <v>44210</v>
      </c>
      <c r="B18" s="8">
        <v>3.12</v>
      </c>
      <c r="C18" s="9">
        <v>43</v>
      </c>
      <c r="D18" s="9">
        <v>352</v>
      </c>
      <c r="E18" s="9">
        <v>5950</v>
      </c>
    </row>
    <row r="19" spans="1:5" x14ac:dyDescent="0.25">
      <c r="A19" s="3">
        <v>44211</v>
      </c>
      <c r="B19" s="8">
        <v>1.53</v>
      </c>
      <c r="C19" s="9">
        <v>31</v>
      </c>
      <c r="D19" s="9">
        <v>174</v>
      </c>
      <c r="E19" s="9">
        <v>3253</v>
      </c>
    </row>
    <row r="20" spans="1:5" x14ac:dyDescent="0.25">
      <c r="A20" s="3">
        <v>44212</v>
      </c>
      <c r="B20" s="8">
        <v>3.16</v>
      </c>
      <c r="C20" s="9">
        <v>43</v>
      </c>
      <c r="D20" s="9">
        <v>358</v>
      </c>
      <c r="E20" s="9">
        <v>6033</v>
      </c>
    </row>
    <row r="21" spans="1:5" x14ac:dyDescent="0.25">
      <c r="A21" s="3">
        <v>44213</v>
      </c>
      <c r="B21" s="8">
        <v>3.35</v>
      </c>
      <c r="C21" s="9">
        <v>44</v>
      </c>
      <c r="D21" s="9">
        <v>379</v>
      </c>
      <c r="E21" s="9">
        <v>6266</v>
      </c>
    </row>
    <row r="22" spans="1:5" x14ac:dyDescent="0.25">
      <c r="A22" s="3">
        <v>44214</v>
      </c>
      <c r="B22" s="8">
        <v>3.29</v>
      </c>
      <c r="C22" s="9">
        <v>42</v>
      </c>
      <c r="D22" s="9">
        <v>372</v>
      </c>
      <c r="E22" s="9">
        <v>5897</v>
      </c>
    </row>
    <row r="23" spans="1:5" x14ac:dyDescent="0.25">
      <c r="A23" s="3">
        <v>44215</v>
      </c>
      <c r="B23" s="8">
        <v>3.39</v>
      </c>
      <c r="C23" s="9">
        <v>46</v>
      </c>
      <c r="D23" s="9">
        <v>383</v>
      </c>
      <c r="E23" s="9">
        <v>6129</v>
      </c>
    </row>
    <row r="24" spans="1:5" x14ac:dyDescent="0.25">
      <c r="A24" s="3">
        <v>44216</v>
      </c>
      <c r="B24" s="8">
        <v>3.05</v>
      </c>
      <c r="C24" s="9">
        <v>52</v>
      </c>
      <c r="D24" s="9">
        <v>345</v>
      </c>
      <c r="E24" s="9">
        <v>5921</v>
      </c>
    </row>
    <row r="25" spans="1:5" x14ac:dyDescent="0.25">
      <c r="A25" s="3">
        <v>44217</v>
      </c>
      <c r="B25" s="8">
        <v>1.51</v>
      </c>
      <c r="C25" s="9">
        <v>21</v>
      </c>
      <c r="D25" s="9">
        <v>171</v>
      </c>
      <c r="E25" s="9">
        <v>2810</v>
      </c>
    </row>
    <row r="26" spans="1:5" x14ac:dyDescent="0.25">
      <c r="A26" s="3">
        <v>44221</v>
      </c>
      <c r="B26" s="8">
        <v>3.17</v>
      </c>
      <c r="C26" s="9">
        <v>45</v>
      </c>
      <c r="D26" s="9">
        <v>359</v>
      </c>
      <c r="E26" s="9">
        <v>6097</v>
      </c>
    </row>
    <row r="27" spans="1:5" x14ac:dyDescent="0.25">
      <c r="A27" s="3">
        <v>44222</v>
      </c>
      <c r="B27" s="8">
        <v>1.27</v>
      </c>
      <c r="C27" s="9">
        <v>20</v>
      </c>
      <c r="D27" s="9">
        <v>143</v>
      </c>
      <c r="E27" s="9">
        <v>2535</v>
      </c>
    </row>
    <row r="28" spans="1:5" x14ac:dyDescent="0.25">
      <c r="A28" s="3">
        <v>44228</v>
      </c>
      <c r="B28" s="8">
        <v>3.19</v>
      </c>
      <c r="C28" s="9">
        <v>44</v>
      </c>
      <c r="D28" s="9">
        <v>360</v>
      </c>
      <c r="E28" s="9">
        <v>5943</v>
      </c>
    </row>
    <row r="29" spans="1:5" x14ac:dyDescent="0.25">
      <c r="A29" s="3">
        <v>44235</v>
      </c>
      <c r="B29" s="8">
        <v>1.34</v>
      </c>
      <c r="C29" s="9">
        <v>22</v>
      </c>
      <c r="D29" s="9">
        <v>152</v>
      </c>
      <c r="E29" s="9">
        <v>2676</v>
      </c>
    </row>
    <row r="30" spans="1:5" x14ac:dyDescent="0.25">
      <c r="A30" s="3">
        <v>44237</v>
      </c>
      <c r="B30" s="8">
        <v>3.18</v>
      </c>
      <c r="C30" s="9">
        <v>48</v>
      </c>
      <c r="D30" s="9">
        <v>359</v>
      </c>
      <c r="E30" s="9">
        <v>5749</v>
      </c>
    </row>
    <row r="31" spans="1:5" x14ac:dyDescent="0.25">
      <c r="A31" s="3">
        <v>44242</v>
      </c>
      <c r="B31" s="8">
        <v>3.18</v>
      </c>
      <c r="C31" s="9">
        <v>41</v>
      </c>
      <c r="D31" s="9">
        <v>360</v>
      </c>
      <c r="E31" s="9">
        <v>3525</v>
      </c>
    </row>
    <row r="32" spans="1:5" x14ac:dyDescent="0.25">
      <c r="A32" s="3">
        <v>44244</v>
      </c>
      <c r="B32" s="8">
        <v>3.28</v>
      </c>
      <c r="C32" s="9">
        <v>40</v>
      </c>
      <c r="D32" s="9">
        <v>371</v>
      </c>
      <c r="E32" s="9">
        <v>5450</v>
      </c>
    </row>
    <row r="33" spans="1:5" x14ac:dyDescent="0.25">
      <c r="A33" s="3">
        <v>44249</v>
      </c>
      <c r="B33" s="8">
        <v>3.45</v>
      </c>
      <c r="C33" s="9">
        <v>40</v>
      </c>
      <c r="D33" s="9">
        <v>390</v>
      </c>
      <c r="E33" s="9">
        <v>5488</v>
      </c>
    </row>
    <row r="34" spans="1:5" x14ac:dyDescent="0.25">
      <c r="A34" s="3">
        <v>44253</v>
      </c>
      <c r="B34" s="8">
        <v>2.02</v>
      </c>
      <c r="C34" s="9">
        <v>30</v>
      </c>
      <c r="D34" s="9">
        <v>228</v>
      </c>
      <c r="E34" s="9">
        <v>3572</v>
      </c>
    </row>
    <row r="35" spans="1:5" x14ac:dyDescent="0.25">
      <c r="A35" s="3">
        <v>44254</v>
      </c>
      <c r="B35" s="8">
        <v>2.82</v>
      </c>
      <c r="C35" s="9">
        <v>36</v>
      </c>
      <c r="D35" s="9">
        <v>319</v>
      </c>
      <c r="E35" s="9">
        <v>4703</v>
      </c>
    </row>
    <row r="36" spans="1:5" x14ac:dyDescent="0.25">
      <c r="A36" s="3">
        <v>44257</v>
      </c>
      <c r="B36" s="8">
        <v>2.63</v>
      </c>
      <c r="C36" s="9">
        <v>51</v>
      </c>
      <c r="D36" s="9">
        <v>297</v>
      </c>
      <c r="E36" s="9">
        <v>5332</v>
      </c>
    </row>
    <row r="37" spans="1:5" x14ac:dyDescent="0.25">
      <c r="A37" s="3">
        <v>44258</v>
      </c>
      <c r="B37" s="8">
        <v>1.1200000000000001</v>
      </c>
      <c r="C37" s="9">
        <v>21</v>
      </c>
      <c r="D37" s="9">
        <v>127</v>
      </c>
      <c r="E37" s="9">
        <v>2220</v>
      </c>
    </row>
    <row r="38" spans="1:5" x14ac:dyDescent="0.25">
      <c r="A38" s="3">
        <v>44259</v>
      </c>
      <c r="B38" s="8">
        <v>1</v>
      </c>
      <c r="C38" s="9">
        <v>26</v>
      </c>
      <c r="D38" s="9">
        <v>113</v>
      </c>
      <c r="E38" s="9">
        <v>2286</v>
      </c>
    </row>
    <row r="39" spans="1:5" x14ac:dyDescent="0.25">
      <c r="A39" s="3">
        <v>44259</v>
      </c>
      <c r="B39" s="8">
        <v>2</v>
      </c>
      <c r="C39" s="9">
        <v>15</v>
      </c>
      <c r="D39" s="9">
        <v>141</v>
      </c>
      <c r="E39" s="9">
        <v>2397</v>
      </c>
    </row>
    <row r="40" spans="1:5" x14ac:dyDescent="0.25">
      <c r="A40" s="3">
        <v>44260</v>
      </c>
      <c r="B40" s="8">
        <v>3.17</v>
      </c>
      <c r="C40" s="9">
        <v>30</v>
      </c>
      <c r="D40" s="9">
        <v>361</v>
      </c>
      <c r="E40" s="9">
        <v>4675</v>
      </c>
    </row>
    <row r="41" spans="1:5" x14ac:dyDescent="0.25">
      <c r="A41" s="3">
        <v>44264</v>
      </c>
      <c r="B41" s="8">
        <v>0.5</v>
      </c>
      <c r="C41" s="9">
        <v>7</v>
      </c>
      <c r="D41" s="9">
        <v>57</v>
      </c>
      <c r="E41" s="9">
        <v>944</v>
      </c>
    </row>
    <row r="42" spans="1:5" x14ac:dyDescent="0.25">
      <c r="A42" s="3">
        <v>44265</v>
      </c>
      <c r="B42" s="8">
        <v>3.24</v>
      </c>
      <c r="C42" s="9">
        <v>33</v>
      </c>
      <c r="D42" s="9">
        <v>366</v>
      </c>
      <c r="E42" s="9">
        <v>4931</v>
      </c>
    </row>
    <row r="43" spans="1:5" x14ac:dyDescent="0.25">
      <c r="A43" s="3">
        <v>44269</v>
      </c>
      <c r="B43" s="8">
        <v>1.1599999999999999</v>
      </c>
      <c r="C43" s="9">
        <v>39</v>
      </c>
      <c r="D43" s="9">
        <v>131</v>
      </c>
      <c r="E43" s="9">
        <v>2991</v>
      </c>
    </row>
    <row r="44" spans="1:5" x14ac:dyDescent="0.25">
      <c r="A44" s="3">
        <v>44270</v>
      </c>
      <c r="B44" s="8">
        <v>1.26</v>
      </c>
      <c r="C44" s="9">
        <v>31</v>
      </c>
      <c r="D44" s="9">
        <v>143</v>
      </c>
      <c r="E44" s="9">
        <v>2888</v>
      </c>
    </row>
    <row r="45" spans="1:5" x14ac:dyDescent="0.25">
      <c r="A45" s="3">
        <v>44271</v>
      </c>
      <c r="B45" s="8">
        <v>1.44</v>
      </c>
      <c r="C45" s="9">
        <v>24</v>
      </c>
      <c r="D45" s="9">
        <v>163</v>
      </c>
      <c r="E45" s="9">
        <v>2751</v>
      </c>
    </row>
    <row r="46" spans="1:5" x14ac:dyDescent="0.25">
      <c r="A46" s="3">
        <v>44272</v>
      </c>
      <c r="B46" s="8">
        <v>1</v>
      </c>
      <c r="C46" s="9">
        <v>22</v>
      </c>
      <c r="D46" s="9">
        <v>113</v>
      </c>
      <c r="E46" s="9">
        <v>2208</v>
      </c>
    </row>
    <row r="47" spans="1:5" x14ac:dyDescent="0.25">
      <c r="A47" s="3">
        <v>44275</v>
      </c>
      <c r="B47" s="8">
        <v>1.81</v>
      </c>
      <c r="C47" s="9">
        <v>41</v>
      </c>
      <c r="D47" s="9">
        <v>205</v>
      </c>
      <c r="E47" s="9">
        <v>4068</v>
      </c>
    </row>
    <row r="48" spans="1:5" x14ac:dyDescent="0.25">
      <c r="A48" s="3">
        <v>44276</v>
      </c>
      <c r="B48" s="8">
        <v>1.23</v>
      </c>
      <c r="C48" s="9">
        <v>27</v>
      </c>
      <c r="D48" s="9">
        <v>139</v>
      </c>
      <c r="E48" s="9">
        <v>2715</v>
      </c>
    </row>
    <row r="49" spans="1:5" x14ac:dyDescent="0.25">
      <c r="A49" s="3">
        <v>44276</v>
      </c>
      <c r="B49" s="8">
        <v>1.3</v>
      </c>
      <c r="C49" s="9">
        <v>20</v>
      </c>
      <c r="D49" s="9">
        <v>147</v>
      </c>
      <c r="E49" s="9">
        <v>2340</v>
      </c>
    </row>
    <row r="50" spans="1:5" x14ac:dyDescent="0.25">
      <c r="A50" s="3">
        <v>44277</v>
      </c>
      <c r="B50" s="8">
        <v>1.18</v>
      </c>
      <c r="C50" s="9">
        <v>23</v>
      </c>
      <c r="D50" s="9">
        <v>133</v>
      </c>
      <c r="E50" s="9">
        <v>2420</v>
      </c>
    </row>
    <row r="51" spans="1:5" x14ac:dyDescent="0.25">
      <c r="A51" s="3">
        <v>44278</v>
      </c>
      <c r="B51" s="8">
        <v>1.34</v>
      </c>
      <c r="C51" s="9">
        <v>38</v>
      </c>
      <c r="D51" s="9">
        <v>151</v>
      </c>
      <c r="E51" s="9">
        <v>3441</v>
      </c>
    </row>
    <row r="52" spans="1:5" x14ac:dyDescent="0.25">
      <c r="A52" s="3">
        <v>44282</v>
      </c>
      <c r="B52" s="8">
        <v>2.42</v>
      </c>
      <c r="C52" s="9">
        <v>45</v>
      </c>
      <c r="D52" s="9">
        <v>274</v>
      </c>
      <c r="E52" s="9">
        <v>5074</v>
      </c>
    </row>
    <row r="53" spans="1:5" x14ac:dyDescent="0.25">
      <c r="A53" s="3">
        <v>44283</v>
      </c>
      <c r="B53" s="8">
        <v>1.02</v>
      </c>
      <c r="C53" s="9">
        <v>25</v>
      </c>
      <c r="D53" s="9">
        <v>116</v>
      </c>
      <c r="E53" s="9">
        <v>2287</v>
      </c>
    </row>
    <row r="54" spans="1:5" x14ac:dyDescent="0.25">
      <c r="A54" s="3">
        <v>44284</v>
      </c>
      <c r="B54" s="8">
        <v>1.1499999999999999</v>
      </c>
      <c r="C54" s="9">
        <v>20</v>
      </c>
      <c r="D54" s="9">
        <v>130</v>
      </c>
      <c r="E54" s="9">
        <v>2417</v>
      </c>
    </row>
    <row r="55" spans="1:5" x14ac:dyDescent="0.25">
      <c r="A55" s="3">
        <v>44286</v>
      </c>
      <c r="B55" s="8">
        <v>2.21</v>
      </c>
      <c r="C55" s="9">
        <v>40</v>
      </c>
      <c r="D55" s="9">
        <v>250</v>
      </c>
      <c r="E55" s="9">
        <v>4556</v>
      </c>
    </row>
    <row r="56" spans="1:5" x14ac:dyDescent="0.25">
      <c r="A56" s="3">
        <v>44286</v>
      </c>
      <c r="B56" s="8">
        <v>2.0499999999999998</v>
      </c>
      <c r="C56" s="9">
        <v>31</v>
      </c>
      <c r="D56" s="9">
        <v>228</v>
      </c>
      <c r="E56" s="9">
        <v>3572</v>
      </c>
    </row>
    <row r="57" spans="1:5" x14ac:dyDescent="0.25">
      <c r="A57" s="3">
        <v>44288</v>
      </c>
      <c r="B57" s="8">
        <v>2.11</v>
      </c>
      <c r="C57" s="9">
        <v>40</v>
      </c>
      <c r="D57" s="9">
        <v>238</v>
      </c>
      <c r="E57" s="9">
        <v>4382</v>
      </c>
    </row>
    <row r="58" spans="1:5" x14ac:dyDescent="0.25">
      <c r="A58" s="3">
        <v>44289</v>
      </c>
      <c r="B58" s="8">
        <v>1.01</v>
      </c>
      <c r="C58" s="9">
        <v>18</v>
      </c>
      <c r="D58" s="9">
        <v>114</v>
      </c>
      <c r="E58" s="9">
        <v>2070</v>
      </c>
    </row>
    <row r="59" spans="1:5" x14ac:dyDescent="0.25">
      <c r="A59" s="3">
        <v>44292</v>
      </c>
      <c r="B59" s="8">
        <v>0.21</v>
      </c>
      <c r="C59" s="9">
        <v>5</v>
      </c>
      <c r="D59" s="9">
        <v>24</v>
      </c>
      <c r="E59" s="9">
        <v>477</v>
      </c>
    </row>
    <row r="60" spans="1:5" x14ac:dyDescent="0.25">
      <c r="A60" s="3">
        <v>44293</v>
      </c>
      <c r="B60" s="8">
        <v>2.16</v>
      </c>
      <c r="C60" s="9">
        <v>30</v>
      </c>
      <c r="D60" s="9">
        <v>244</v>
      </c>
      <c r="E60" s="9">
        <v>3909</v>
      </c>
    </row>
    <row r="61" spans="1:5" x14ac:dyDescent="0.25">
      <c r="A61" s="3">
        <v>44294</v>
      </c>
      <c r="B61" s="8">
        <v>0.56999999999999995</v>
      </c>
      <c r="C61" s="9">
        <v>6</v>
      </c>
      <c r="D61" s="9">
        <v>65</v>
      </c>
      <c r="E61" s="9">
        <v>934</v>
      </c>
    </row>
    <row r="62" spans="1:5" x14ac:dyDescent="0.25">
      <c r="A62" s="3">
        <v>44295</v>
      </c>
      <c r="B62" s="8">
        <v>2.13</v>
      </c>
      <c r="C62" s="9">
        <v>30</v>
      </c>
      <c r="D62" s="9">
        <v>241</v>
      </c>
      <c r="E62" s="9">
        <v>3929</v>
      </c>
    </row>
    <row r="63" spans="1:5" x14ac:dyDescent="0.25">
      <c r="A63" s="3">
        <v>44296</v>
      </c>
      <c r="B63" s="8">
        <v>2.2400000000000002</v>
      </c>
      <c r="C63" s="9">
        <v>31</v>
      </c>
      <c r="D63" s="9">
        <v>253</v>
      </c>
      <c r="E63" s="9">
        <v>3956</v>
      </c>
    </row>
    <row r="64" spans="1:5" x14ac:dyDescent="0.25">
      <c r="A64" s="3">
        <v>44297</v>
      </c>
      <c r="B64" s="8">
        <v>1.51</v>
      </c>
      <c r="C64" s="9">
        <v>45</v>
      </c>
      <c r="D64" s="9">
        <v>170</v>
      </c>
      <c r="E64" s="9">
        <v>3796</v>
      </c>
    </row>
    <row r="65" spans="1:5" x14ac:dyDescent="0.25">
      <c r="A65" s="3">
        <v>44299</v>
      </c>
      <c r="B65" s="8">
        <v>1.25</v>
      </c>
      <c r="C65" s="9">
        <v>22</v>
      </c>
      <c r="D65" s="9">
        <v>164</v>
      </c>
      <c r="E65" s="9">
        <v>2736</v>
      </c>
    </row>
    <row r="66" spans="1:5" x14ac:dyDescent="0.25">
      <c r="A66" s="3">
        <v>44301</v>
      </c>
      <c r="B66" s="8">
        <v>1.45</v>
      </c>
      <c r="C66" s="9">
        <v>17</v>
      </c>
      <c r="D66" s="9">
        <v>180</v>
      </c>
      <c r="E66" s="9">
        <v>2810</v>
      </c>
    </row>
    <row r="67" spans="1:5" x14ac:dyDescent="0.25">
      <c r="A67" s="3">
        <v>44302</v>
      </c>
      <c r="B67" s="8">
        <v>1.56</v>
      </c>
      <c r="C67" s="9">
        <v>32</v>
      </c>
      <c r="D67" s="9">
        <v>176</v>
      </c>
      <c r="E67" s="9">
        <v>3185</v>
      </c>
    </row>
    <row r="68" spans="1:5" x14ac:dyDescent="0.25">
      <c r="A68" s="3">
        <v>44304</v>
      </c>
      <c r="B68" s="8">
        <v>1.02</v>
      </c>
      <c r="C68" s="9">
        <v>26</v>
      </c>
      <c r="D68" s="9">
        <v>116</v>
      </c>
      <c r="E68" s="9">
        <v>2329</v>
      </c>
    </row>
    <row r="69" spans="1:5" x14ac:dyDescent="0.25">
      <c r="A69" s="3">
        <v>44305</v>
      </c>
      <c r="B69" s="8">
        <v>1.38</v>
      </c>
      <c r="C69" s="9">
        <v>36</v>
      </c>
      <c r="D69" s="9">
        <v>156</v>
      </c>
      <c r="E69" s="9">
        <v>3096</v>
      </c>
    </row>
    <row r="70" spans="1:5" x14ac:dyDescent="0.25">
      <c r="A70" s="3">
        <v>44305</v>
      </c>
      <c r="B70" s="8">
        <v>1.28</v>
      </c>
      <c r="C70" s="9">
        <v>38</v>
      </c>
      <c r="D70" s="9">
        <v>144</v>
      </c>
      <c r="E70" s="9">
        <v>3022</v>
      </c>
    </row>
    <row r="71" spans="1:5" x14ac:dyDescent="0.25">
      <c r="A71" s="3">
        <v>44306</v>
      </c>
      <c r="B71" s="8">
        <v>1.1399999999999999</v>
      </c>
      <c r="C71" s="9">
        <v>18</v>
      </c>
      <c r="D71" s="9">
        <v>129</v>
      </c>
      <c r="E71" s="9">
        <v>2049</v>
      </c>
    </row>
    <row r="72" spans="1:5" x14ac:dyDescent="0.25">
      <c r="A72" s="3">
        <v>44306</v>
      </c>
      <c r="B72" s="8">
        <v>0.45</v>
      </c>
      <c r="C72" s="9">
        <v>10</v>
      </c>
      <c r="D72" s="9">
        <v>51</v>
      </c>
      <c r="E72" s="9">
        <v>808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Table">
                <anchor>
                  <from>
                    <xdr:col>6</xdr:col>
                    <xdr:colOff>19050</xdr:colOff>
                    <xdr:row>1</xdr:row>
                    <xdr:rowOff>66675</xdr:rowOff>
                  </from>
                  <to>
                    <xdr:col>8</xdr:col>
                    <xdr:colOff>371475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Data">
                <anchor>
                  <from>
                    <xdr:col>6</xdr:col>
                    <xdr:colOff>38100</xdr:colOff>
                    <xdr:row>4</xdr:row>
                    <xdr:rowOff>28575</xdr:rowOff>
                  </from>
                  <to>
                    <xdr:col>8</xdr:col>
                    <xdr:colOff>323850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LoadTreadmillEntryForm">
                <anchor moveWithCells="1" sizeWithCells="1">
                  <from>
                    <xdr:col>6</xdr:col>
                    <xdr:colOff>66675</xdr:colOff>
                    <xdr:row>7</xdr:row>
                    <xdr:rowOff>133350</xdr:rowOff>
                  </from>
                  <to>
                    <xdr:col>8</xdr:col>
                    <xdr:colOff>323850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A8E53-F76A-40C9-9FB7-2D45F032919B}">
  <sheetPr codeName="Pivots"/>
  <dimension ref="A1:T6"/>
  <sheetViews>
    <sheetView workbookViewId="0">
      <selection activeCell="P1" sqref="P1"/>
    </sheetView>
  </sheetViews>
  <sheetFormatPr defaultRowHeight="15" x14ac:dyDescent="0.25"/>
  <cols>
    <col min="1" max="1" width="13.140625" bestFit="1" customWidth="1"/>
    <col min="2" max="2" width="15.28515625" bestFit="1" customWidth="1"/>
    <col min="3" max="4" width="1.85546875" customWidth="1"/>
    <col min="5" max="5" width="13.140625" bestFit="1" customWidth="1"/>
    <col min="6" max="6" width="19.28515625" bestFit="1" customWidth="1"/>
    <col min="7" max="7" width="22.140625" bestFit="1" customWidth="1"/>
    <col min="8" max="8" width="2.42578125" customWidth="1"/>
    <col min="9" max="9" width="13.140625" bestFit="1" customWidth="1"/>
    <col min="10" max="10" width="14.85546875" bestFit="1" customWidth="1"/>
    <col min="11" max="11" width="1.85546875" customWidth="1"/>
    <col min="12" max="12" width="2.42578125" customWidth="1"/>
    <col min="13" max="13" width="13.140625" bestFit="1" customWidth="1"/>
    <col min="14" max="14" width="12.42578125" bestFit="1" customWidth="1"/>
    <col min="16" max="16" width="13.140625" bestFit="1" customWidth="1"/>
    <col min="17" max="17" width="12.42578125" bestFit="1" customWidth="1"/>
    <col min="18" max="18" width="12" bestFit="1" customWidth="1"/>
    <col min="19" max="19" width="13.140625" bestFit="1" customWidth="1"/>
    <col min="20" max="20" width="17.85546875" bestFit="1" customWidth="1"/>
    <col min="21" max="32" width="5.5703125" bestFit="1" customWidth="1"/>
    <col min="33" max="33" width="11.28515625" bestFit="1" customWidth="1"/>
    <col min="34" max="36" width="12" bestFit="1" customWidth="1"/>
    <col min="37" max="38" width="11" bestFit="1" customWidth="1"/>
    <col min="39" max="43" width="12" bestFit="1" customWidth="1"/>
    <col min="44" max="44" width="11" bestFit="1" customWidth="1"/>
    <col min="45" max="47" width="12" bestFit="1" customWidth="1"/>
    <col min="48" max="48" width="7.7109375" bestFit="1" customWidth="1"/>
    <col min="49" max="64" width="12" bestFit="1" customWidth="1"/>
    <col min="65" max="67" width="11" bestFit="1" customWidth="1"/>
    <col min="68" max="70" width="12" bestFit="1" customWidth="1"/>
    <col min="71" max="71" width="11" bestFit="1" customWidth="1"/>
    <col min="72" max="85" width="12" bestFit="1" customWidth="1"/>
    <col min="86" max="87" width="11" bestFit="1" customWidth="1"/>
    <col min="88" max="88" width="12" bestFit="1" customWidth="1"/>
  </cols>
  <sheetData>
    <row r="1" spans="1:20" x14ac:dyDescent="0.25">
      <c r="A1" s="10" t="s">
        <v>5</v>
      </c>
      <c r="B1" t="s">
        <v>10</v>
      </c>
      <c r="E1" s="10" t="s">
        <v>5</v>
      </c>
      <c r="F1" t="s">
        <v>11</v>
      </c>
      <c r="G1" t="s">
        <v>14</v>
      </c>
      <c r="I1" s="10" t="s">
        <v>5</v>
      </c>
      <c r="J1" t="s">
        <v>12</v>
      </c>
      <c r="M1" s="10" t="s">
        <v>5</v>
      </c>
      <c r="N1" t="s">
        <v>13</v>
      </c>
      <c r="P1" s="10" t="s">
        <v>5</v>
      </c>
      <c r="Q1" t="s">
        <v>22</v>
      </c>
      <c r="S1" s="10" t="s">
        <v>5</v>
      </c>
      <c r="T1" t="s">
        <v>21</v>
      </c>
    </row>
    <row r="2" spans="1:20" x14ac:dyDescent="0.25">
      <c r="A2" s="11" t="s">
        <v>7</v>
      </c>
      <c r="B2" s="12">
        <v>60.759999999999991</v>
      </c>
      <c r="E2" s="11" t="s">
        <v>7</v>
      </c>
      <c r="F2" s="7">
        <v>15.816666666666666</v>
      </c>
      <c r="G2" s="12">
        <v>36.5</v>
      </c>
      <c r="I2" s="11" t="s">
        <v>7</v>
      </c>
      <c r="J2" s="12">
        <v>6914</v>
      </c>
      <c r="M2" s="11" t="s">
        <v>7</v>
      </c>
      <c r="N2" s="12">
        <v>117271</v>
      </c>
      <c r="P2" s="11" t="s">
        <v>7</v>
      </c>
      <c r="Q2" s="12">
        <v>15.618828176431865</v>
      </c>
      <c r="S2" s="11" t="s">
        <v>7</v>
      </c>
      <c r="T2" s="12">
        <v>15</v>
      </c>
    </row>
    <row r="3" spans="1:20" x14ac:dyDescent="0.25">
      <c r="A3" s="11" t="s">
        <v>8</v>
      </c>
      <c r="B3" s="12">
        <v>22.46</v>
      </c>
      <c r="E3" s="11" t="s">
        <v>8</v>
      </c>
      <c r="F3" s="7">
        <v>5.0166666666666666</v>
      </c>
      <c r="G3" s="12">
        <v>37.625</v>
      </c>
      <c r="I3" s="11" t="s">
        <v>8</v>
      </c>
      <c r="J3" s="12">
        <v>2539</v>
      </c>
      <c r="M3" s="11" t="s">
        <v>8</v>
      </c>
      <c r="N3" s="12">
        <v>37106</v>
      </c>
      <c r="P3" s="11" t="s">
        <v>8</v>
      </c>
      <c r="Q3" s="12">
        <v>13.40160284951024</v>
      </c>
      <c r="S3" s="11" t="s">
        <v>8</v>
      </c>
      <c r="T3" s="12">
        <v>6</v>
      </c>
    </row>
    <row r="4" spans="1:20" x14ac:dyDescent="0.25">
      <c r="A4" s="11" t="s">
        <v>9</v>
      </c>
      <c r="B4" s="12">
        <v>34.229999999999997</v>
      </c>
      <c r="E4" s="11" t="s">
        <v>9</v>
      </c>
      <c r="F4" s="7">
        <v>10.15</v>
      </c>
      <c r="G4" s="12">
        <v>29</v>
      </c>
      <c r="I4" s="11" t="s">
        <v>9</v>
      </c>
      <c r="J4" s="12">
        <v>3785</v>
      </c>
      <c r="M4" s="11" t="s">
        <v>9</v>
      </c>
      <c r="N4" s="12">
        <v>66513</v>
      </c>
      <c r="P4" s="11" t="s">
        <v>9</v>
      </c>
      <c r="Q4" s="12">
        <v>17.791411042944787</v>
      </c>
      <c r="S4" s="11" t="s">
        <v>9</v>
      </c>
      <c r="T4" s="12">
        <v>2</v>
      </c>
    </row>
    <row r="5" spans="1:20" x14ac:dyDescent="0.25">
      <c r="A5" s="11" t="s">
        <v>24</v>
      </c>
      <c r="B5" s="12">
        <v>21.47</v>
      </c>
      <c r="E5" s="11" t="s">
        <v>24</v>
      </c>
      <c r="F5" s="7">
        <v>6.7333333333333334</v>
      </c>
      <c r="G5" s="12">
        <v>25.25</v>
      </c>
      <c r="I5" s="11" t="s">
        <v>24</v>
      </c>
      <c r="J5" s="12">
        <v>2465</v>
      </c>
      <c r="M5" s="11" t="s">
        <v>24</v>
      </c>
      <c r="N5" s="12">
        <v>43488</v>
      </c>
      <c r="P5" s="11" t="s">
        <v>24</v>
      </c>
      <c r="Q5" s="12">
        <v>18.816953889147648</v>
      </c>
      <c r="S5" s="11" t="s">
        <v>6</v>
      </c>
      <c r="T5" s="12">
        <v>23</v>
      </c>
    </row>
    <row r="6" spans="1:20" x14ac:dyDescent="0.25">
      <c r="A6" s="11" t="s">
        <v>6</v>
      </c>
      <c r="B6" s="12">
        <v>138.91999999999999</v>
      </c>
      <c r="E6" s="11" t="s">
        <v>6</v>
      </c>
      <c r="F6" s="7">
        <v>37.716666666666669</v>
      </c>
      <c r="G6" s="12">
        <v>31.87323943661972</v>
      </c>
      <c r="I6" s="11" t="s">
        <v>6</v>
      </c>
      <c r="J6" s="12">
        <v>15703</v>
      </c>
      <c r="M6" s="11" t="s">
        <v>6</v>
      </c>
      <c r="N6" s="12">
        <v>264378</v>
      </c>
      <c r="P6" s="11" t="s">
        <v>6</v>
      </c>
      <c r="Q6" s="12">
        <v>16.289951050964589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MasterData</vt:lpstr>
      <vt:lpstr>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Walker</dc:creator>
  <cp:lastModifiedBy>Jason Walker</cp:lastModifiedBy>
  <dcterms:created xsi:type="dcterms:W3CDTF">2021-04-11T20:54:45Z</dcterms:created>
  <dcterms:modified xsi:type="dcterms:W3CDTF">2021-05-18T02:27:59Z</dcterms:modified>
</cp:coreProperties>
</file>