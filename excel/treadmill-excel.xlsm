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Projects\Treadmill Excellence\treadmill-excel-vba\excel\"/>
    </mc:Choice>
  </mc:AlternateContent>
  <xr:revisionPtr revIDLastSave="0" documentId="13_ncr:1_{0F3063C8-E8B5-4580-93F4-22670C226409}" xr6:coauthVersionLast="46" xr6:coauthVersionMax="46" xr10:uidLastSave="{00000000-0000-0000-0000-000000000000}"/>
  <bookViews>
    <workbookView xWindow="1575" yWindow="2955" windowWidth="22935" windowHeight="12675" xr2:uid="{AA71DFDF-96EC-4D9B-BFE7-5130EC7A2940}"/>
  </bookViews>
  <sheets>
    <sheet name="Dashboard" sheetId="1" r:id="rId1"/>
    <sheet name="MasterData" sheetId="2" r:id="rId2"/>
    <sheet name="Pivots" sheetId="4" r:id="rId3"/>
    <sheet name="Sheet1" sheetId="3" r:id="rId4"/>
  </sheets>
  <calcPr calcId="181029"/>
  <pivotCaches>
    <pivotCache cacheId="3" r:id="rId5"/>
    <pivotCache cacheId="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7" i="1" l="1"/>
  <c r="S26" i="1"/>
  <c r="S25" i="1"/>
  <c r="S24" i="1"/>
  <c r="S23" i="1"/>
  <c r="S22" i="1"/>
  <c r="S21" i="1"/>
  <c r="S20" i="1"/>
  <c r="S19" i="1"/>
  <c r="S18" i="1"/>
  <c r="S17" i="1"/>
  <c r="S16" i="1"/>
  <c r="S15" i="1"/>
  <c r="X15" i="1"/>
  <c r="X16" i="1" l="1"/>
  <c r="I2" i="3" l="1"/>
</calcChain>
</file>

<file path=xl/sharedStrings.xml><?xml version="1.0" encoding="utf-8"?>
<sst xmlns="http://schemas.openxmlformats.org/spreadsheetml/2006/main" count="51" uniqueCount="23">
  <si>
    <t>Date</t>
  </si>
  <si>
    <t>Distance</t>
  </si>
  <si>
    <t>Calories</t>
  </si>
  <si>
    <t>Steps</t>
  </si>
  <si>
    <t>Time (Mins)</t>
  </si>
  <si>
    <t>Row Labels</t>
  </si>
  <si>
    <t>Grand Total</t>
  </si>
  <si>
    <t>Jan</t>
  </si>
  <si>
    <t>Feb</t>
  </si>
  <si>
    <t>Mar</t>
  </si>
  <si>
    <t>Sum of Distance</t>
  </si>
  <si>
    <t>Sum of Time (Hours)</t>
  </si>
  <si>
    <t>Sum of Calories</t>
  </si>
  <si>
    <t>Sum of Steps</t>
  </si>
  <si>
    <t>Average of Time (Mins)</t>
  </si>
  <si>
    <t>Avg. Minutes Per Mile</t>
  </si>
  <si>
    <t>Set Date</t>
  </si>
  <si>
    <t>Goal Achievements</t>
  </si>
  <si>
    <t>Goal Sets</t>
  </si>
  <si>
    <t>Min/Mile</t>
  </si>
  <si>
    <t>Miles</t>
  </si>
  <si>
    <t>Minutes</t>
  </si>
  <si>
    <t>Count of Min/Mile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</si>
</sst>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 Light"/>
      <family val="2"/>
      <scheme val="maj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14" fontId="0" fillId="0" borderId="0" xfId="0" applyNumberFormat="1"/>
    <xf numFmtId="14" fontId="0" fillId="0" borderId="0" xfId="0" applyNumberFormat="1" applyFill="1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1" fontId="0" fillId="0" borderId="0" xfId="0" applyNumberFormat="1"/>
    <xf numFmtId="2" fontId="0" fillId="0" borderId="0" xfId="0" applyNumberFormat="1" applyFill="1"/>
    <xf numFmtId="1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0" fontId="4" fillId="0" borderId="0" xfId="0" applyFont="1" applyFill="1" applyAlignment="1">
      <alignment horizontal="center" vertical="center"/>
    </xf>
  </cellXfs>
  <cellStyles count="1">
    <cellStyle name="Normal" xfId="0" builtinId="0"/>
  </cellStyles>
  <dxfs count="19"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[treadmill-excel.xlsm]Pivots!DistancePivotTable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Distance Travelled (Miles)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Pivots!$A$2:$A$5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Pivots!$B$2:$B$5</c:f>
              <c:numCache>
                <c:formatCode>General</c:formatCode>
                <c:ptCount val="3"/>
                <c:pt idx="0">
                  <c:v>60.759999999999991</c:v>
                </c:pt>
                <c:pt idx="1">
                  <c:v>22.46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E-4565-965A-3335E67CAE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73760"/>
        <c:axId val="1519874592"/>
      </c:barChart>
      <c:catAx>
        <c:axId val="151987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74592"/>
        <c:crosses val="autoZero"/>
        <c:auto val="1"/>
        <c:lblAlgn val="ctr"/>
        <c:lblOffset val="100"/>
        <c:noMultiLvlLbl val="0"/>
      </c:catAx>
      <c:valAx>
        <c:axId val="15198745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7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[treadmill-excel.xlsm]Pivots!PivotTable2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Time (Hours/Minutes)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Pivots!$F$1</c:f>
              <c:strCache>
                <c:ptCount val="1"/>
                <c:pt idx="0">
                  <c:v>Sum of Time (Hours)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Pivots!$F$2:$F$5</c:f>
              <c:numCache>
                <c:formatCode>0</c:formatCode>
                <c:ptCount val="3"/>
                <c:pt idx="0">
                  <c:v>15.816666666666666</c:v>
                </c:pt>
                <c:pt idx="1">
                  <c:v>5.0166666666666666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7-4D04-8358-159F29F6C912}"/>
            </c:ext>
          </c:extLst>
        </c:ser>
        <c:ser>
          <c:idx val="1"/>
          <c:order val="1"/>
          <c:tx>
            <c:strRef>
              <c:f>Pivots!$G$1</c:f>
              <c:strCache>
                <c:ptCount val="1"/>
                <c:pt idx="0">
                  <c:v>Average of Time (Mins)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Pivots!$G$2:$G$5</c:f>
              <c:numCache>
                <c:formatCode>General</c:formatCode>
                <c:ptCount val="3"/>
                <c:pt idx="0">
                  <c:v>36.5</c:v>
                </c:pt>
                <c:pt idx="1">
                  <c:v>37.625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27-4D04-8358-159F29F6C91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2520816"/>
        <c:axId val="1372521232"/>
      </c:barChart>
      <c:catAx>
        <c:axId val="137252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521232"/>
        <c:crosses val="autoZero"/>
        <c:auto val="1"/>
        <c:lblAlgn val="ctr"/>
        <c:lblOffset val="100"/>
        <c:noMultiLvlLbl val="0"/>
      </c:catAx>
      <c:valAx>
        <c:axId val="13725212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37252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[treadmill-excel.xlsm]Pivots!PivotTable3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Calories Burned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Pivots!$I$2:$I$5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Pivots!$J$2:$J$5</c:f>
              <c:numCache>
                <c:formatCode>General</c:formatCode>
                <c:ptCount val="3"/>
                <c:pt idx="0">
                  <c:v>6914</c:v>
                </c:pt>
                <c:pt idx="1">
                  <c:v>2539</c:v>
                </c:pt>
                <c:pt idx="2">
                  <c:v>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01-4608-958F-ACC32E6533E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55872"/>
        <c:axId val="1519880000"/>
      </c:barChart>
      <c:catAx>
        <c:axId val="15198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0000"/>
        <c:crosses val="autoZero"/>
        <c:auto val="1"/>
        <c:lblAlgn val="ctr"/>
        <c:lblOffset val="100"/>
        <c:noMultiLvlLbl val="0"/>
      </c:catAx>
      <c:valAx>
        <c:axId val="15198800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5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[treadmill-excel.xlsm]Pivots!PivotTable4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Steps Taken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6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Pivots!$N$1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Pivots!$M$2:$M$5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Pivots!$N$2:$N$5</c:f>
              <c:numCache>
                <c:formatCode>General</c:formatCode>
                <c:ptCount val="3"/>
                <c:pt idx="0">
                  <c:v>117271</c:v>
                </c:pt>
                <c:pt idx="1">
                  <c:v>37106</c:v>
                </c:pt>
                <c:pt idx="2">
                  <c:v>12235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02-4347-9B91-D9EC4574B9B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97786432"/>
        <c:axId val="2097810144"/>
      </c:barChart>
      <c:catAx>
        <c:axId val="209778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10144"/>
        <c:crosses val="autoZero"/>
        <c:auto val="1"/>
        <c:lblAlgn val="ctr"/>
        <c:lblOffset val="100"/>
        <c:noMultiLvlLbl val="0"/>
      </c:catAx>
      <c:valAx>
        <c:axId val="20978101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78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[treadmill-excel.xlsm]Pivots!PivotTable5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Minutes Per 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Pivots!$Q$1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Pivots!$P$2:$P$5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Pivots!$Q$2:$Q$5</c:f>
              <c:numCache>
                <c:formatCode>General</c:formatCode>
                <c:ptCount val="3"/>
                <c:pt idx="0">
                  <c:v>15.618828176431865</c:v>
                </c:pt>
                <c:pt idx="1">
                  <c:v>13.40160284951024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E0A3-48A3-AD17-FB460C8E81E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7857984"/>
        <c:axId val="2097877120"/>
      </c:barChart>
      <c:catAx>
        <c:axId val="20978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77120"/>
        <c:crosses val="autoZero"/>
        <c:auto val="1"/>
        <c:lblAlgn val="ctr"/>
        <c:lblOffset val="100"/>
        <c:noMultiLvlLbl val="0"/>
      </c:catAx>
      <c:valAx>
        <c:axId val="20978771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8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[treadmill-excel.xlsm]Pivots!PivotTable1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Goal Unlocks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Pivots!$T$1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Pivots!$S$2:$S$4</c:f>
              <c:strCache>
                <c:ptCount val="2"/>
                <c:pt idx="0">
                  <c:v>Jan</c:v>
                </c:pt>
                <c:pt idx="1">
                  <c:v>Feb</c:v>
                </c:pt>
              </c:strCache>
            </c:strRef>
          </c:cat>
          <c:val>
            <c:numRef>
              <c:f>Pivots!$T$2:$T$4</c:f>
              <c:numCache>
                <c:formatCode>General</c:formatCode>
                <c:ptCount val="2"/>
                <c:pt idx="0">
                  <c:v>8</c:v>
                </c:pt>
                <c:pt idx="1">
                  <c:v>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51C-4079-82FE-947A06D0C1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9562336"/>
        <c:axId val="699561504"/>
      </c:lineChart>
      <c:catAx>
        <c:axId val="6995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61504"/>
        <c:crosses val="autoZero"/>
        <c:auto val="1"/>
        <c:lblAlgn val="ctr"/>
        <c:lblOffset val="100"/>
        <c:noMultiLvlLbl val="0"/>
      </c:catAx>
      <c:valAx>
        <c:axId val="6995615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995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12</xdr:row>
      <xdr:rowOff>119060</xdr:rowOff>
    </xdr:from>
    <xdr:to>
      <xdr:col>5</xdr:col>
      <xdr:colOff>493396</xdr:colOff>
      <xdr:row>27</xdr:row>
      <xdr:rowOff>187640</xdr:rowOff>
    </xdr:to>
    <xdr:graphicFrame macro="">
      <xdr:nvGraphicFramePr>
        <xdr:cNvPr id="2" name="TotalDistance">
          <a:extLst>
            <a:ext uri="{FF2B5EF4-FFF2-40B4-BE49-F238E27FC236}">
              <a16:creationId xmlns:a16="http://schemas.microsoft.com/office/drawing/2014/main" id="{802950B4-720C-4589-97D4-7923083BD1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28</xdr:row>
      <xdr:rowOff>100012</xdr:rowOff>
    </xdr:from>
    <xdr:to>
      <xdr:col>5</xdr:col>
      <xdr:colOff>493395</xdr:colOff>
      <xdr:row>43</xdr:row>
      <xdr:rowOff>168592</xdr:rowOff>
    </xdr:to>
    <xdr:graphicFrame macro="">
      <xdr:nvGraphicFramePr>
        <xdr:cNvPr id="3" name="TotalTime">
          <a:extLst>
            <a:ext uri="{FF2B5EF4-FFF2-40B4-BE49-F238E27FC236}">
              <a16:creationId xmlns:a16="http://schemas.microsoft.com/office/drawing/2014/main" id="{EA0BD7B7-3F7D-4532-9FA6-814E1724D7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44</xdr:row>
      <xdr:rowOff>100010</xdr:rowOff>
    </xdr:from>
    <xdr:to>
      <xdr:col>5</xdr:col>
      <xdr:colOff>493395</xdr:colOff>
      <xdr:row>59</xdr:row>
      <xdr:rowOff>168590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5ADB094C-75D4-4567-BED2-51EC9C282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66675</xdr:colOff>
      <xdr:row>44</xdr:row>
      <xdr:rowOff>100010</xdr:rowOff>
    </xdr:from>
    <xdr:to>
      <xdr:col>14</xdr:col>
      <xdr:colOff>36195</xdr:colOff>
      <xdr:row>59</xdr:row>
      <xdr:rowOff>168590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4F6C69CE-477E-406D-8AA1-24976C3884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61911</xdr:colOff>
      <xdr:row>28</xdr:row>
      <xdr:rowOff>104775</xdr:rowOff>
    </xdr:from>
    <xdr:to>
      <xdr:col>14</xdr:col>
      <xdr:colOff>31431</xdr:colOff>
      <xdr:row>43</xdr:row>
      <xdr:rowOff>173355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2B1060A2-B4C6-4D43-84AC-4DCF93C4F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6</xdr:row>
          <xdr:rowOff>66675</xdr:rowOff>
        </xdr:from>
        <xdr:to>
          <xdr:col>21</xdr:col>
          <xdr:colOff>762000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Goal Tables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71437</xdr:colOff>
      <xdr:row>12</xdr:row>
      <xdr:rowOff>128587</xdr:rowOff>
    </xdr:from>
    <xdr:to>
      <xdr:col>14</xdr:col>
      <xdr:colOff>40957</xdr:colOff>
      <xdr:row>28</xdr:row>
      <xdr:rowOff>6667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9889C39-3963-44F9-B436-BC51AE5B5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</xdr:row>
          <xdr:rowOff>66675</xdr:rowOff>
        </xdr:from>
        <xdr:to>
          <xdr:col>8</xdr:col>
          <xdr:colOff>371475</xdr:colOff>
          <xdr:row>3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4</xdr:row>
          <xdr:rowOff>28575</xdr:rowOff>
        </xdr:from>
        <xdr:to>
          <xdr:col>8</xdr:col>
          <xdr:colOff>323850</xdr:colOff>
          <xdr:row>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133350</xdr:rowOff>
        </xdr:from>
        <xdr:to>
          <xdr:col>8</xdr:col>
          <xdr:colOff>323850</xdr:colOff>
          <xdr:row>10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Data Form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298.688670601849" createdVersion="7" refreshedVersion="7" minRefreshableVersion="3" recordCount="38" xr:uid="{2DCE61D0-A3AE-4BA4-84D5-ED522CB6A4F2}">
  <cacheSource type="worksheet">
    <worksheetSource name="MasterDataTable"/>
  </cacheSource>
  <cacheFields count="8">
    <cacheField name="Date" numFmtId="14">
      <sharedItems containsSemiMixedTypes="0" containsNonDate="0" containsDate="1" containsString="0" minDate="2021-01-02T00:00:00" maxDate="2021-03-05T00:00:00" count="33"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5T00:00:00"/>
        <d v="2021-01-26T00:00:00"/>
        <d v="2021-02-01T00:00:00"/>
        <d v="2021-02-08T00:00:00"/>
        <d v="2021-02-10T00:00:00"/>
        <d v="2021-02-15T00:00:00"/>
        <d v="2021-02-17T00:00:00"/>
        <d v="2021-02-22T00:00:00"/>
        <d v="2021-02-26T00:00:00"/>
        <d v="2021-02-27T00:00:00"/>
        <d v="2021-03-02T00:00:00"/>
        <d v="2021-03-03T00:00:00"/>
        <d v="2021-03-04T00:00:00"/>
      </sharedItems>
      <fieldGroup par="5" base="0">
        <rangePr groupBy="days" startDate="2021-01-02T00:00:00" endDate="2021-03-05T00:00:00"/>
        <groupItems count="368">
          <s v="&lt;1/2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5/2021"/>
        </groupItems>
      </fieldGroup>
    </cacheField>
    <cacheField name="Distance" numFmtId="2">
      <sharedItems containsSemiMixedTypes="0" containsString="0" containsNumber="1" minValue="0.25" maxValue="3.45"/>
    </cacheField>
    <cacheField name="Time (Mins)" numFmtId="1">
      <sharedItems containsSemiMixedTypes="0" containsString="0" containsNumber="1" containsInteger="1" minValue="4" maxValue="57"/>
    </cacheField>
    <cacheField name="Calories" numFmtId="1">
      <sharedItems containsSemiMixedTypes="0" containsString="0" containsNumber="1" containsInteger="1" minValue="70" maxValue="390"/>
    </cacheField>
    <cacheField name="Steps" numFmtId="1">
      <sharedItems containsSemiMixedTypes="0" containsString="0" containsNumber="1" containsInteger="1" minValue="325" maxValue="6266"/>
    </cacheField>
    <cacheField name="Months" numFmtId="0" databaseField="0">
      <fieldGroup base="0">
        <rangePr groupBy="months" startDate="2021-01-02T00:00:00" endDate="2021-03-05T00:00:00"/>
        <groupItems count="14">
          <s v="&lt;1/2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5/2021"/>
        </groupItems>
      </fieldGroup>
    </cacheField>
    <cacheField name="Time (Hours)" numFmtId="0" formula="'Time (Mins)'/60" databaseField="0"/>
    <cacheField name="MPM" numFmtId="0" formula="'Time (Mins)'/Distanc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300.726906365744" createdVersion="7" refreshedVersion="7" minRefreshableVersion="3" recordCount="13" xr:uid="{06663743-CBFD-4976-A31F-22425A83666D}">
  <cacheSource type="worksheet">
    <worksheetSource name="GoalUnlocksTable"/>
  </cacheSource>
  <cacheFields count="5">
    <cacheField name="Date" numFmtId="14">
      <sharedItems containsSemiMixedTypes="0" containsNonDate="0" containsDate="1" containsString="0" minDate="2021-01-11T00:00:00" maxDate="2021-02-28T00:00:00" count="13">
        <d v="2021-02-27T00:00:00"/>
        <d v="2021-02-22T00:00:00"/>
        <d v="2021-02-17T00:00:00"/>
        <d v="2021-02-15T00:00:00"/>
        <d v="2021-02-01T00:00:00"/>
        <d v="2021-01-25T00:00:00"/>
        <d v="2021-01-19T00:00:00"/>
        <d v="2021-01-18T00:00:00"/>
        <d v="2021-01-17T00:00:00"/>
        <d v="2021-01-16T00:00:00"/>
        <d v="2021-01-14T00:00:00"/>
        <d v="2021-01-12T00:00:00"/>
        <d v="2021-01-11T00:00:00"/>
      </sharedItems>
      <fieldGroup par="4" base="0">
        <rangePr groupBy="days" startDate="2021-01-11T00:00:00" endDate="2021-02-28T00:00:00"/>
        <groupItems count="368">
          <s v="&lt;1/11/20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8/2021"/>
        </groupItems>
      </fieldGroup>
    </cacheField>
    <cacheField name="Miles" numFmtId="2">
      <sharedItems containsSemiMixedTypes="0" containsString="0" containsNumber="1" minValue="2.82" maxValue="3.45"/>
    </cacheField>
    <cacheField name="Minutes" numFmtId="1">
      <sharedItems containsSemiMixedTypes="0" containsString="0" containsNumber="1" containsInteger="1" minValue="36" maxValue="46"/>
    </cacheField>
    <cacheField name="Min/Mile" numFmtId="2">
      <sharedItems containsSemiMixedTypes="0" containsString="0" containsNumber="1" minValue="11.594202898550725" maxValue="14.285714285714285" count="13">
        <n v="12.765957446808512"/>
        <n v="11.594202898550725"/>
        <n v="12.195121951219512"/>
        <n v="12.893081761006288"/>
        <n v="13.793103448275863"/>
        <n v="14.195583596214512"/>
        <n v="13.569321533923304"/>
        <n v="12.76595744680851"/>
        <n v="13.134328358208954"/>
        <n v="13.60759493670886"/>
        <n v="13.782051282051281"/>
        <n v="13.803680981595093"/>
        <n v="14.285714285714285"/>
      </sharedItems>
    </cacheField>
    <cacheField name="Months" numFmtId="0" databaseField="0">
      <fieldGroup base="0">
        <rangePr groupBy="months" startDate="2021-01-11T00:00:00" endDate="2021-02-28T00:00:00"/>
        <groupItems count="14">
          <s v="&lt;1/1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8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n v="3.18"/>
    <n v="45"/>
    <n v="359"/>
    <n v="5677"/>
  </r>
  <r>
    <x v="1"/>
    <n v="2.1"/>
    <n v="25"/>
    <n v="237"/>
    <n v="3344"/>
  </r>
  <r>
    <x v="1"/>
    <n v="2.0099999999999998"/>
    <n v="44"/>
    <n v="227"/>
    <n v="4527"/>
  </r>
  <r>
    <x v="2"/>
    <n v="3.13"/>
    <n v="48"/>
    <n v="354"/>
    <n v="6060"/>
  </r>
  <r>
    <x v="3"/>
    <n v="3.01"/>
    <n v="57"/>
    <n v="341"/>
    <n v="5925"/>
  </r>
  <r>
    <x v="4"/>
    <n v="1.26"/>
    <n v="31"/>
    <n v="142"/>
    <n v="2934"/>
  </r>
  <r>
    <x v="5"/>
    <n v="2.15"/>
    <n v="28"/>
    <n v="244"/>
    <n v="3619"/>
  </r>
  <r>
    <x v="6"/>
    <n v="2.15"/>
    <n v="37"/>
    <n v="243"/>
    <n v="4248"/>
  </r>
  <r>
    <x v="7"/>
    <n v="1"/>
    <n v="16"/>
    <n v="115"/>
    <n v="2105"/>
  </r>
  <r>
    <x v="7"/>
    <n v="0.25"/>
    <n v="4"/>
    <n v="70"/>
    <n v="325"/>
  </r>
  <r>
    <x v="7"/>
    <n v="0.81"/>
    <n v="10"/>
    <n v="92"/>
    <n v="1330"/>
  </r>
  <r>
    <x v="7"/>
    <n v="3.19"/>
    <n v="46"/>
    <n v="361"/>
    <n v="6260"/>
  </r>
  <r>
    <x v="8"/>
    <n v="1.0900000000000001"/>
    <n v="33"/>
    <n v="124"/>
    <n v="2918"/>
  </r>
  <r>
    <x v="9"/>
    <n v="3.22"/>
    <n v="46"/>
    <n v="364"/>
    <n v="6208"/>
  </r>
  <r>
    <x v="10"/>
    <n v="3.26"/>
    <n v="45"/>
    <n v="369"/>
    <n v="6161"/>
  </r>
  <r>
    <x v="11"/>
    <n v="2.11"/>
    <n v="47"/>
    <n v="236"/>
    <n v="4739"/>
  </r>
  <r>
    <x v="12"/>
    <n v="3.12"/>
    <n v="43"/>
    <n v="352"/>
    <n v="5950"/>
  </r>
  <r>
    <x v="13"/>
    <n v="1.53"/>
    <n v="31"/>
    <n v="174"/>
    <n v="3253"/>
  </r>
  <r>
    <x v="14"/>
    <n v="3.16"/>
    <n v="43"/>
    <n v="358"/>
    <n v="6033"/>
  </r>
  <r>
    <x v="15"/>
    <n v="3.35"/>
    <n v="44"/>
    <n v="379"/>
    <n v="6266"/>
  </r>
  <r>
    <x v="16"/>
    <n v="3.29"/>
    <n v="42"/>
    <n v="372"/>
    <n v="5897"/>
  </r>
  <r>
    <x v="17"/>
    <n v="3.39"/>
    <n v="46"/>
    <n v="383"/>
    <n v="6129"/>
  </r>
  <r>
    <x v="18"/>
    <n v="3.05"/>
    <n v="52"/>
    <n v="345"/>
    <n v="5921"/>
  </r>
  <r>
    <x v="19"/>
    <n v="1.51"/>
    <n v="21"/>
    <n v="171"/>
    <n v="2810"/>
  </r>
  <r>
    <x v="20"/>
    <n v="3.17"/>
    <n v="45"/>
    <n v="359"/>
    <n v="6097"/>
  </r>
  <r>
    <x v="21"/>
    <n v="1.27"/>
    <n v="20"/>
    <n v="143"/>
    <n v="2535"/>
  </r>
  <r>
    <x v="22"/>
    <n v="3.19"/>
    <n v="44"/>
    <n v="360"/>
    <n v="5943"/>
  </r>
  <r>
    <x v="23"/>
    <n v="1.34"/>
    <n v="22"/>
    <n v="152"/>
    <n v="2676"/>
  </r>
  <r>
    <x v="24"/>
    <n v="3.18"/>
    <n v="48"/>
    <n v="359"/>
    <n v="5749"/>
  </r>
  <r>
    <x v="25"/>
    <n v="3.18"/>
    <n v="41"/>
    <n v="360"/>
    <n v="3525"/>
  </r>
  <r>
    <x v="26"/>
    <n v="3.28"/>
    <n v="40"/>
    <n v="371"/>
    <n v="5450"/>
  </r>
  <r>
    <x v="27"/>
    <n v="3.45"/>
    <n v="40"/>
    <n v="390"/>
    <n v="5488"/>
  </r>
  <r>
    <x v="28"/>
    <n v="2.02"/>
    <n v="30"/>
    <n v="228"/>
    <n v="3572"/>
  </r>
  <r>
    <x v="29"/>
    <n v="2.82"/>
    <n v="36"/>
    <n v="319"/>
    <n v="4703"/>
  </r>
  <r>
    <x v="30"/>
    <n v="2.63"/>
    <n v="51"/>
    <n v="297"/>
    <n v="5332"/>
  </r>
  <r>
    <x v="31"/>
    <n v="1.1200000000000001"/>
    <n v="21"/>
    <n v="127"/>
    <n v="2220"/>
  </r>
  <r>
    <x v="32"/>
    <n v="1"/>
    <n v="26"/>
    <n v="113"/>
    <n v="2286"/>
  </r>
  <r>
    <x v="32"/>
    <n v="1.25"/>
    <n v="22"/>
    <n v="141"/>
    <n v="23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n v="2.82"/>
    <n v="36"/>
    <x v="0"/>
  </r>
  <r>
    <x v="1"/>
    <n v="3.45"/>
    <n v="40"/>
    <x v="1"/>
  </r>
  <r>
    <x v="2"/>
    <n v="3.28"/>
    <n v="40"/>
    <x v="2"/>
  </r>
  <r>
    <x v="3"/>
    <n v="3.18"/>
    <n v="41"/>
    <x v="3"/>
  </r>
  <r>
    <x v="4"/>
    <n v="3.19"/>
    <n v="44"/>
    <x v="4"/>
  </r>
  <r>
    <x v="5"/>
    <n v="3.17"/>
    <n v="45"/>
    <x v="5"/>
  </r>
  <r>
    <x v="6"/>
    <n v="3.39"/>
    <n v="46"/>
    <x v="6"/>
  </r>
  <r>
    <x v="7"/>
    <n v="3.29"/>
    <n v="42"/>
    <x v="7"/>
  </r>
  <r>
    <x v="8"/>
    <n v="3.35"/>
    <n v="44"/>
    <x v="8"/>
  </r>
  <r>
    <x v="9"/>
    <n v="3.16"/>
    <n v="43"/>
    <x v="9"/>
  </r>
  <r>
    <x v="10"/>
    <n v="3.12"/>
    <n v="43"/>
    <x v="10"/>
  </r>
  <r>
    <x v="11"/>
    <n v="3.26"/>
    <n v="45"/>
    <x v="11"/>
  </r>
  <r>
    <x v="12"/>
    <n v="3.22"/>
    <n v="46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FAB32-1F30-4D63-9348-32CF1C092185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S1:T4" firstHeaderRow="1" firstDataRow="1" firstDataCol="1"/>
  <pivotFields count="5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dataField="1" numFmtId="2" showAll="0">
      <items count="14">
        <item x="1"/>
        <item x="2"/>
        <item x="7"/>
        <item x="0"/>
        <item x="3"/>
        <item x="8"/>
        <item x="6"/>
        <item x="9"/>
        <item x="10"/>
        <item x="4"/>
        <item x="11"/>
        <item x="5"/>
        <item x="12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0"/>
  </rowFields>
  <rowItems count="3">
    <i>
      <x v="1"/>
    </i>
    <i>
      <x v="2"/>
    </i>
    <i t="grand">
      <x/>
    </i>
  </rowItems>
  <colItems count="1">
    <i/>
  </colItems>
  <dataFields count="1">
    <dataField name="Count of Min/Mile" fld="3" subtotal="count" baseField="0" baseItem="10"/>
  </dataFields>
  <chartFormats count="1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69017A-5D7C-4952-8DC8-CAC21510D283}" name="PivotTable5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P1:Q5" firstHeaderRow="1" firstDataRow="1" firstDataCol="1"/>
  <pivotFields count="8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numFmtId="1" showAll="0"/>
    <pivotField numFmtI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5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Avg. Minutes Per Mile" fld="7" baseField="0" baseItem="10"/>
  </dataFields>
  <chartFormats count="1">
    <chartFormat chart="0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6F08-BDF4-4E9C-BAE4-B7D1C3EDAA67}" name="PivotTable4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M1:N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numFmtId="1" showAll="0"/>
    <pivotField dataField="1" numFmtI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  <pivotField dragToRow="0" dragToCol="0" dragToPage="0" showAll="0" defaultSubtotal="0"/>
  </pivotFields>
  <rowFields count="2">
    <field x="5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Steps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DD2BFC-2A8C-41A0-9381-39BC7A9BB254}" name="PivotTable3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1:J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dataField="1" numFmtId="1" showAll="0"/>
    <pivotField numFmtI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  <pivotField dragToRow="0" dragToCol="0" dragToPage="0" showAll="0" defaultSubtotal="0"/>
  </pivotFields>
  <rowFields count="2">
    <field x="5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alorie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2DFAC-2391-425E-82D3-6C5912B94948}" name="PivotTable2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E1:G5" firstHeaderRow="0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dataField="1" numFmtId="1" showAll="0"/>
    <pivotField numFmtId="1" showAll="0"/>
    <pivotField numFmtI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ataField="1" dragToRow="0" dragToCol="0" dragToPage="0" showAll="0" defaultSubtotal="0"/>
    <pivotField dragToRow="0" dragToCol="0" dragToPage="0" showAll="0" defaultSubtotal="0"/>
  </pivotFields>
  <rowFields count="2">
    <field x="5"/>
    <field x="0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ime (Hours)" fld="6" baseField="0" baseItem="0" numFmtId="1"/>
    <dataField name="Average of Time (Mins)" fld="2" subtotal="average" baseField="0" baseItem="1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246E6A-F1B6-43F8-A018-752CD085EE3D}" name="DistancePivotTable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1:B5" firstHeaderRow="1" firstDataRow="1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2" showAll="0"/>
    <pivotField numFmtId="1" showAll="0"/>
    <pivotField numFmtId="1" showAll="0"/>
    <pivotField numFmtI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2">
    <field x="5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Distance" fld="1" baseField="0" baseItem="1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425BA4-4DAA-4C25-9037-606CDBFA5934}" name="GoalUnlocksTable" displayName="GoalUnlocksTable" ref="P14:S27" totalsRowShown="0" headerRowDxfId="17" dataDxfId="16">
  <autoFilter ref="P14:S27" xr:uid="{2DC2E1C9-BED9-47FE-9CA9-8450E73A7A41}"/>
  <tableColumns count="4">
    <tableColumn id="1" xr3:uid="{5A55B867-A550-45CF-AABE-37478AFEBA8D}" name="Date" dataDxfId="13"/>
    <tableColumn id="2" xr3:uid="{D6C55F8A-C43A-44B9-991E-9493039EF268}" name="Miles" dataDxfId="11"/>
    <tableColumn id="3" xr3:uid="{02511F80-BC4C-477F-A655-262F65ED9686}" name="Minutes" dataDxfId="10"/>
    <tableColumn id="4" xr3:uid="{94982CE9-D51F-41F2-9968-6CDBF1A128B2}" name="Min/Mile" dataDxfId="0">
      <calculatedColumnFormula>GoalUnlocksTable[[#This Row],[Minutes]]/GoalUnlocksTable[[#This Row],[Miles]]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473FE3-AC0A-4029-B213-FDBE8F4BCF13}" name="GoalSetsTable" displayName="GoalSetsTable" ref="U14:X16" totalsRowShown="0" headerRowDxfId="15" dataDxfId="14">
  <autoFilter ref="U14:X16" xr:uid="{2D15F289-BF74-4C62-A891-EB586B10C1B1}"/>
  <tableColumns count="4">
    <tableColumn id="1" xr3:uid="{C9178B14-4E4A-4C3B-824D-E13361A8EFC9}" name="Set Date" dataDxfId="12"/>
    <tableColumn id="2" xr3:uid="{DF7B696B-00A0-421A-BC7B-9E8B8DDA0910}" name="Miles" dataDxfId="9"/>
    <tableColumn id="3" xr3:uid="{0965688A-E067-49D7-AD11-00D3ECE60B4B}" name="Minutes" dataDxfId="7"/>
    <tableColumn id="4" xr3:uid="{F50F1052-5845-4A2D-8A3A-9BA2E43E036F}" name="Min/Mile" dataDxfId="8">
      <calculatedColumnFormula>GoalSetsTable[[#This Row],[Minutes]]/GoalSetsTable[[#This Row],[Miles]]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94E74-A8A2-489C-ADB9-B0EA7C9BB072}" name="MasterDataTable" displayName="MasterDataTable" ref="A1:E40" totalsRowShown="0" headerRowDxfId="18" dataDxfId="1" headerRowCellStyle="Normal" dataCellStyle="Normal">
  <autoFilter ref="A1:E40" xr:uid="{9415ECDB-A660-4040-9ED5-E4A2F87C1FF1}"/>
  <tableColumns count="5">
    <tableColumn id="1" xr3:uid="{CD441949-09F4-404C-ADC6-46142E88C43F}" name="Date" dataDxfId="6" dataCellStyle="Normal"/>
    <tableColumn id="2" xr3:uid="{354EEFD6-3A23-4604-8C3F-EEA5629EF64B}" name="Distance" dataDxfId="5" dataCellStyle="Normal"/>
    <tableColumn id="3" xr3:uid="{528CAAA9-4F1B-48A1-B9AB-205DC5155A79}" name="Time (Mins)" dataDxfId="4" dataCellStyle="Normal"/>
    <tableColumn id="4" xr3:uid="{BF4531C9-1163-4A24-85DC-03EBBF4B0965}" name="Calories" dataDxfId="3" dataCellStyle="Normal"/>
    <tableColumn id="5" xr3:uid="{4A7F7040-8DB1-4543-A00B-3C3647A60694}" name="Steps" dataDxfId="2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799B-733F-46E3-9A0D-BE0E5493A721}">
  <sheetPr codeName="Dashboard"/>
  <dimension ref="A12:X40"/>
  <sheetViews>
    <sheetView showGridLines="0" tabSelected="1" topLeftCell="D4" workbookViewId="0">
      <selection activeCell="R51" sqref="R51"/>
    </sheetView>
  </sheetViews>
  <sheetFormatPr defaultRowHeight="15" x14ac:dyDescent="0.25"/>
  <cols>
    <col min="1" max="1" width="13.140625" style="13" bestFit="1" customWidth="1"/>
    <col min="2" max="2" width="15.28515625" style="13" bestFit="1" customWidth="1"/>
    <col min="3" max="3" width="18.5703125" style="13" bestFit="1" customWidth="1"/>
    <col min="4" max="4" width="9.140625" style="13" customWidth="1"/>
    <col min="5" max="14" width="9.140625" style="13"/>
    <col min="15" max="15" width="7.5703125" style="13" customWidth="1"/>
    <col min="16" max="19" width="11.5703125" style="13" customWidth="1"/>
    <col min="20" max="20" width="2.28515625" style="13" customWidth="1"/>
    <col min="21" max="24" width="11.5703125" style="13" customWidth="1"/>
    <col min="25" max="16384" width="9.140625" style="13"/>
  </cols>
  <sheetData>
    <row r="12" spans="16:24" ht="21" x14ac:dyDescent="0.25">
      <c r="P12" s="14" t="s">
        <v>17</v>
      </c>
      <c r="Q12" s="14"/>
      <c r="R12" s="14"/>
      <c r="S12" s="14"/>
      <c r="U12" s="14" t="s">
        <v>18</v>
      </c>
      <c r="V12" s="14"/>
      <c r="W12" s="14"/>
      <c r="X12" s="14"/>
    </row>
    <row r="14" spans="16:24" x14ac:dyDescent="0.25">
      <c r="P14" s="13" t="s">
        <v>0</v>
      </c>
      <c r="Q14" s="13" t="s">
        <v>20</v>
      </c>
      <c r="R14" s="13" t="s">
        <v>21</v>
      </c>
      <c r="S14" s="13" t="s">
        <v>19</v>
      </c>
      <c r="U14" s="13" t="s">
        <v>16</v>
      </c>
      <c r="V14" s="13" t="s">
        <v>20</v>
      </c>
      <c r="W14" s="13" t="s">
        <v>21</v>
      </c>
      <c r="X14" s="13" t="s">
        <v>19</v>
      </c>
    </row>
    <row r="15" spans="16:24" x14ac:dyDescent="0.25">
      <c r="P15" s="3">
        <v>44254</v>
      </c>
      <c r="Q15" s="8">
        <v>2.82</v>
      </c>
      <c r="R15" s="9">
        <v>36</v>
      </c>
      <c r="S15" s="8">
        <f>GoalUnlocksTable[[#This Row],[Minutes]]/GoalUnlocksTable[[#This Row],[Miles]]</f>
        <v>12.765957446808512</v>
      </c>
      <c r="U15" s="3">
        <v>44228</v>
      </c>
      <c r="V15" s="8">
        <v>2.5</v>
      </c>
      <c r="W15" s="9">
        <v>35</v>
      </c>
      <c r="X15" s="8">
        <f>GoalSetsTable[[#This Row],[Minutes]]/GoalSetsTable[[#This Row],[Miles]]</f>
        <v>14</v>
      </c>
    </row>
    <row r="16" spans="16:24" x14ac:dyDescent="0.25">
      <c r="P16" s="3">
        <v>44249</v>
      </c>
      <c r="Q16" s="8">
        <v>3.45</v>
      </c>
      <c r="R16" s="9">
        <v>40</v>
      </c>
      <c r="S16" s="8">
        <f>GoalUnlocksTable[[#This Row],[Minutes]]/GoalUnlocksTable[[#This Row],[Miles]]</f>
        <v>11.594202898550725</v>
      </c>
      <c r="U16" s="3">
        <v>44206</v>
      </c>
      <c r="V16" s="8">
        <v>2</v>
      </c>
      <c r="W16" s="9">
        <v>30</v>
      </c>
      <c r="X16" s="8">
        <f>GoalSetsTable[[#This Row],[Minutes]]/GoalSetsTable[[#This Row],[Miles]]</f>
        <v>15</v>
      </c>
    </row>
    <row r="17" spans="16:19" x14ac:dyDescent="0.25">
      <c r="P17" s="3">
        <v>44244</v>
      </c>
      <c r="Q17" s="8">
        <v>3.28</v>
      </c>
      <c r="R17" s="9">
        <v>40</v>
      </c>
      <c r="S17" s="8">
        <f>GoalUnlocksTable[[#This Row],[Minutes]]/GoalUnlocksTable[[#This Row],[Miles]]</f>
        <v>12.195121951219512</v>
      </c>
    </row>
    <row r="18" spans="16:19" x14ac:dyDescent="0.25">
      <c r="P18" s="3">
        <v>44242</v>
      </c>
      <c r="Q18" s="8">
        <v>3.18</v>
      </c>
      <c r="R18" s="9">
        <v>41</v>
      </c>
      <c r="S18" s="8">
        <f>GoalUnlocksTable[[#This Row],[Minutes]]/GoalUnlocksTable[[#This Row],[Miles]]</f>
        <v>12.893081761006288</v>
      </c>
    </row>
    <row r="19" spans="16:19" x14ac:dyDescent="0.25">
      <c r="P19" s="3">
        <v>44228</v>
      </c>
      <c r="Q19" s="8">
        <v>3.19</v>
      </c>
      <c r="R19" s="9">
        <v>44</v>
      </c>
      <c r="S19" s="8">
        <f>GoalUnlocksTable[[#This Row],[Minutes]]/GoalUnlocksTable[[#This Row],[Miles]]</f>
        <v>13.793103448275863</v>
      </c>
    </row>
    <row r="20" spans="16:19" x14ac:dyDescent="0.25">
      <c r="P20" s="3">
        <v>44221</v>
      </c>
      <c r="Q20" s="8">
        <v>3.17</v>
      </c>
      <c r="R20" s="9">
        <v>45</v>
      </c>
      <c r="S20" s="8">
        <f>GoalUnlocksTable[[#This Row],[Minutes]]/GoalUnlocksTable[[#This Row],[Miles]]</f>
        <v>14.195583596214512</v>
      </c>
    </row>
    <row r="21" spans="16:19" x14ac:dyDescent="0.25">
      <c r="P21" s="3">
        <v>44215</v>
      </c>
      <c r="Q21" s="8">
        <v>3.39</v>
      </c>
      <c r="R21" s="9">
        <v>46</v>
      </c>
      <c r="S21" s="8">
        <f>GoalUnlocksTable[[#This Row],[Minutes]]/GoalUnlocksTable[[#This Row],[Miles]]</f>
        <v>13.569321533923304</v>
      </c>
    </row>
    <row r="22" spans="16:19" x14ac:dyDescent="0.25">
      <c r="P22" s="3">
        <v>44214</v>
      </c>
      <c r="Q22" s="8">
        <v>3.29</v>
      </c>
      <c r="R22" s="9">
        <v>42</v>
      </c>
      <c r="S22" s="8">
        <f>GoalUnlocksTable[[#This Row],[Minutes]]/GoalUnlocksTable[[#This Row],[Miles]]</f>
        <v>12.76595744680851</v>
      </c>
    </row>
    <row r="23" spans="16:19" x14ac:dyDescent="0.25">
      <c r="P23" s="3">
        <v>44213</v>
      </c>
      <c r="Q23" s="8">
        <v>3.35</v>
      </c>
      <c r="R23" s="9">
        <v>44</v>
      </c>
      <c r="S23" s="8">
        <f>GoalUnlocksTable[[#This Row],[Minutes]]/GoalUnlocksTable[[#This Row],[Miles]]</f>
        <v>13.134328358208954</v>
      </c>
    </row>
    <row r="24" spans="16:19" x14ac:dyDescent="0.25">
      <c r="P24" s="3">
        <v>44212</v>
      </c>
      <c r="Q24" s="8">
        <v>3.16</v>
      </c>
      <c r="R24" s="9">
        <v>43</v>
      </c>
      <c r="S24" s="8">
        <f>GoalUnlocksTable[[#This Row],[Minutes]]/GoalUnlocksTable[[#This Row],[Miles]]</f>
        <v>13.60759493670886</v>
      </c>
    </row>
    <row r="25" spans="16:19" x14ac:dyDescent="0.25">
      <c r="P25" s="3">
        <v>44210</v>
      </c>
      <c r="Q25" s="8">
        <v>3.12</v>
      </c>
      <c r="R25" s="9">
        <v>43</v>
      </c>
      <c r="S25" s="8">
        <f>GoalUnlocksTable[[#This Row],[Minutes]]/GoalUnlocksTable[[#This Row],[Miles]]</f>
        <v>13.782051282051281</v>
      </c>
    </row>
    <row r="26" spans="16:19" x14ac:dyDescent="0.25">
      <c r="P26" s="3">
        <v>44208</v>
      </c>
      <c r="Q26" s="8">
        <v>3.26</v>
      </c>
      <c r="R26" s="9">
        <v>45</v>
      </c>
      <c r="S26" s="8">
        <f>GoalUnlocksTable[[#This Row],[Minutes]]/GoalUnlocksTable[[#This Row],[Miles]]</f>
        <v>13.803680981595093</v>
      </c>
    </row>
    <row r="27" spans="16:19" x14ac:dyDescent="0.25">
      <c r="P27" s="3">
        <v>44207</v>
      </c>
      <c r="Q27" s="8">
        <v>3.22</v>
      </c>
      <c r="R27" s="9">
        <v>46</v>
      </c>
      <c r="S27" s="8">
        <f>GoalUnlocksTable[[#This Row],[Minutes]]/GoalUnlocksTable[[#This Row],[Miles]]</f>
        <v>14.285714285714285</v>
      </c>
    </row>
    <row r="40" spans="1:5" x14ac:dyDescent="0.25">
      <c r="A40" s="3">
        <v>44300</v>
      </c>
      <c r="B40" s="13">
        <v>3</v>
      </c>
      <c r="C40" s="13">
        <v>60</v>
      </c>
      <c r="D40" s="13">
        <v>350</v>
      </c>
      <c r="E40" s="13">
        <v>5000</v>
      </c>
    </row>
  </sheetData>
  <mergeCells count="2">
    <mergeCell ref="P12:S12"/>
    <mergeCell ref="U12:X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GoalTables">
                <anchor moveWithCells="1" sizeWithCells="1">
                  <from>
                    <xdr:col>18</xdr:col>
                    <xdr:colOff>257175</xdr:colOff>
                    <xdr:row>6</xdr:row>
                    <xdr:rowOff>66675</xdr:rowOff>
                  </from>
                  <to>
                    <xdr:col>21</xdr:col>
                    <xdr:colOff>762000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DC6D-B632-491D-ACDF-B4C6DF7147FD}">
  <sheetPr codeName="MasterDataSheet"/>
  <dimension ref="A1:E40"/>
  <sheetViews>
    <sheetView workbookViewId="0">
      <selection activeCell="D39" sqref="D39"/>
    </sheetView>
  </sheetViews>
  <sheetFormatPr defaultRowHeight="15" x14ac:dyDescent="0.25"/>
  <cols>
    <col min="1" max="1" width="17.85546875" style="2" customWidth="1"/>
    <col min="2" max="2" width="17.85546875" style="1" customWidth="1"/>
    <col min="3" max="3" width="20.85546875" style="1" customWidth="1"/>
    <col min="4" max="5" width="17.85546875" style="1" customWidth="1"/>
  </cols>
  <sheetData>
    <row r="1" spans="1:5" s="6" customFormat="1" ht="18.75" x14ac:dyDescent="0.3">
      <c r="A1" s="4" t="s">
        <v>0</v>
      </c>
      <c r="B1" s="5" t="s">
        <v>1</v>
      </c>
      <c r="C1" s="5" t="s">
        <v>4</v>
      </c>
      <c r="D1" s="5" t="s">
        <v>2</v>
      </c>
      <c r="E1" s="5" t="s">
        <v>3</v>
      </c>
    </row>
    <row r="2" spans="1:5" x14ac:dyDescent="0.25">
      <c r="A2" s="3">
        <v>44198</v>
      </c>
      <c r="B2" s="8">
        <v>3.18</v>
      </c>
      <c r="C2" s="9">
        <v>45</v>
      </c>
      <c r="D2" s="9">
        <v>359</v>
      </c>
      <c r="E2" s="9">
        <v>5677</v>
      </c>
    </row>
    <row r="3" spans="1:5" x14ac:dyDescent="0.25">
      <c r="A3" s="3">
        <v>44199</v>
      </c>
      <c r="B3" s="8">
        <v>2.1</v>
      </c>
      <c r="C3" s="9">
        <v>25</v>
      </c>
      <c r="D3" s="9">
        <v>237</v>
      </c>
      <c r="E3" s="9">
        <v>3344</v>
      </c>
    </row>
    <row r="4" spans="1:5" x14ac:dyDescent="0.25">
      <c r="A4" s="3">
        <v>44199</v>
      </c>
      <c r="B4" s="8">
        <v>2.0099999999999998</v>
      </c>
      <c r="C4" s="9">
        <v>44</v>
      </c>
      <c r="D4" s="9">
        <v>227</v>
      </c>
      <c r="E4" s="9">
        <v>4527</v>
      </c>
    </row>
    <row r="5" spans="1:5" x14ac:dyDescent="0.25">
      <c r="A5" s="3">
        <v>44200</v>
      </c>
      <c r="B5" s="8">
        <v>3.13</v>
      </c>
      <c r="C5" s="9">
        <v>48</v>
      </c>
      <c r="D5" s="9">
        <v>354</v>
      </c>
      <c r="E5" s="9">
        <v>6060</v>
      </c>
    </row>
    <row r="6" spans="1:5" x14ac:dyDescent="0.25">
      <c r="A6" s="3">
        <v>44201</v>
      </c>
      <c r="B6" s="8">
        <v>3.01</v>
      </c>
      <c r="C6" s="9">
        <v>57</v>
      </c>
      <c r="D6" s="9">
        <v>341</v>
      </c>
      <c r="E6" s="9">
        <v>5925</v>
      </c>
    </row>
    <row r="7" spans="1:5" x14ac:dyDescent="0.25">
      <c r="A7" s="3">
        <v>44202</v>
      </c>
      <c r="B7" s="8">
        <v>1.26</v>
      </c>
      <c r="C7" s="9">
        <v>31</v>
      </c>
      <c r="D7" s="9">
        <v>142</v>
      </c>
      <c r="E7" s="9">
        <v>2934</v>
      </c>
    </row>
    <row r="8" spans="1:5" x14ac:dyDescent="0.25">
      <c r="A8" s="3">
        <v>44203</v>
      </c>
      <c r="B8" s="8">
        <v>2.15</v>
      </c>
      <c r="C8" s="9">
        <v>28</v>
      </c>
      <c r="D8" s="9">
        <v>244</v>
      </c>
      <c r="E8" s="9">
        <v>3619</v>
      </c>
    </row>
    <row r="9" spans="1:5" x14ac:dyDescent="0.25">
      <c r="A9" s="3">
        <v>44204</v>
      </c>
      <c r="B9" s="8">
        <v>2.15</v>
      </c>
      <c r="C9" s="9">
        <v>37</v>
      </c>
      <c r="D9" s="9">
        <v>243</v>
      </c>
      <c r="E9" s="9">
        <v>4248</v>
      </c>
    </row>
    <row r="10" spans="1:5" x14ac:dyDescent="0.25">
      <c r="A10" s="3">
        <v>44205</v>
      </c>
      <c r="B10" s="8">
        <v>1</v>
      </c>
      <c r="C10" s="9">
        <v>16</v>
      </c>
      <c r="D10" s="9">
        <v>115</v>
      </c>
      <c r="E10" s="9">
        <v>2105</v>
      </c>
    </row>
    <row r="11" spans="1:5" x14ac:dyDescent="0.25">
      <c r="A11" s="3">
        <v>44205</v>
      </c>
      <c r="B11" s="8">
        <v>0.25</v>
      </c>
      <c r="C11" s="9">
        <v>4</v>
      </c>
      <c r="D11" s="9">
        <v>70</v>
      </c>
      <c r="E11" s="9">
        <v>325</v>
      </c>
    </row>
    <row r="12" spans="1:5" x14ac:dyDescent="0.25">
      <c r="A12" s="3">
        <v>44205</v>
      </c>
      <c r="B12" s="8">
        <v>0.81</v>
      </c>
      <c r="C12" s="9">
        <v>10</v>
      </c>
      <c r="D12" s="9">
        <v>92</v>
      </c>
      <c r="E12" s="9">
        <v>1330</v>
      </c>
    </row>
    <row r="13" spans="1:5" x14ac:dyDescent="0.25">
      <c r="A13" s="3">
        <v>44205</v>
      </c>
      <c r="B13" s="8">
        <v>3.19</v>
      </c>
      <c r="C13" s="9">
        <v>46</v>
      </c>
      <c r="D13" s="9">
        <v>361</v>
      </c>
      <c r="E13" s="9">
        <v>6260</v>
      </c>
    </row>
    <row r="14" spans="1:5" x14ac:dyDescent="0.25">
      <c r="A14" s="3">
        <v>44206</v>
      </c>
      <c r="B14" s="8">
        <v>1.0900000000000001</v>
      </c>
      <c r="C14" s="9">
        <v>33</v>
      </c>
      <c r="D14" s="9">
        <v>124</v>
      </c>
      <c r="E14" s="9">
        <v>2918</v>
      </c>
    </row>
    <row r="15" spans="1:5" x14ac:dyDescent="0.25">
      <c r="A15" s="3">
        <v>44207</v>
      </c>
      <c r="B15" s="8">
        <v>3.22</v>
      </c>
      <c r="C15" s="9">
        <v>46</v>
      </c>
      <c r="D15" s="9">
        <v>364</v>
      </c>
      <c r="E15" s="9">
        <v>6208</v>
      </c>
    </row>
    <row r="16" spans="1:5" x14ac:dyDescent="0.25">
      <c r="A16" s="3">
        <v>44208</v>
      </c>
      <c r="B16" s="8">
        <v>3.26</v>
      </c>
      <c r="C16" s="9">
        <v>45</v>
      </c>
      <c r="D16" s="9">
        <v>369</v>
      </c>
      <c r="E16" s="9">
        <v>6161</v>
      </c>
    </row>
    <row r="17" spans="1:5" x14ac:dyDescent="0.25">
      <c r="A17" s="3">
        <v>44209</v>
      </c>
      <c r="B17" s="8">
        <v>2.11</v>
      </c>
      <c r="C17" s="9">
        <v>47</v>
      </c>
      <c r="D17" s="9">
        <v>236</v>
      </c>
      <c r="E17" s="9">
        <v>4739</v>
      </c>
    </row>
    <row r="18" spans="1:5" x14ac:dyDescent="0.25">
      <c r="A18" s="3">
        <v>44210</v>
      </c>
      <c r="B18" s="8">
        <v>3.12</v>
      </c>
      <c r="C18" s="9">
        <v>43</v>
      </c>
      <c r="D18" s="9">
        <v>352</v>
      </c>
      <c r="E18" s="9">
        <v>5950</v>
      </c>
    </row>
    <row r="19" spans="1:5" x14ac:dyDescent="0.25">
      <c r="A19" s="3">
        <v>44211</v>
      </c>
      <c r="B19" s="8">
        <v>1.53</v>
      </c>
      <c r="C19" s="9">
        <v>31</v>
      </c>
      <c r="D19" s="9">
        <v>174</v>
      </c>
      <c r="E19" s="9">
        <v>3253</v>
      </c>
    </row>
    <row r="20" spans="1:5" x14ac:dyDescent="0.25">
      <c r="A20" s="3">
        <v>44212</v>
      </c>
      <c r="B20" s="8">
        <v>3.16</v>
      </c>
      <c r="C20" s="9">
        <v>43</v>
      </c>
      <c r="D20" s="9">
        <v>358</v>
      </c>
      <c r="E20" s="9">
        <v>6033</v>
      </c>
    </row>
    <row r="21" spans="1:5" x14ac:dyDescent="0.25">
      <c r="A21" s="3">
        <v>44213</v>
      </c>
      <c r="B21" s="8">
        <v>3.35</v>
      </c>
      <c r="C21" s="9">
        <v>44</v>
      </c>
      <c r="D21" s="9">
        <v>379</v>
      </c>
      <c r="E21" s="9">
        <v>6266</v>
      </c>
    </row>
    <row r="22" spans="1:5" x14ac:dyDescent="0.25">
      <c r="A22" s="3">
        <v>44214</v>
      </c>
      <c r="B22" s="8">
        <v>3.29</v>
      </c>
      <c r="C22" s="9">
        <v>42</v>
      </c>
      <c r="D22" s="9">
        <v>372</v>
      </c>
      <c r="E22" s="9">
        <v>5897</v>
      </c>
    </row>
    <row r="23" spans="1:5" x14ac:dyDescent="0.25">
      <c r="A23" s="3">
        <v>44215</v>
      </c>
      <c r="B23" s="8">
        <v>3.39</v>
      </c>
      <c r="C23" s="9">
        <v>46</v>
      </c>
      <c r="D23" s="9">
        <v>383</v>
      </c>
      <c r="E23" s="9">
        <v>6129</v>
      </c>
    </row>
    <row r="24" spans="1:5" x14ac:dyDescent="0.25">
      <c r="A24" s="3">
        <v>44216</v>
      </c>
      <c r="B24" s="8">
        <v>3.05</v>
      </c>
      <c r="C24" s="9">
        <v>52</v>
      </c>
      <c r="D24" s="9">
        <v>345</v>
      </c>
      <c r="E24" s="9">
        <v>5921</v>
      </c>
    </row>
    <row r="25" spans="1:5" x14ac:dyDescent="0.25">
      <c r="A25" s="3">
        <v>44217</v>
      </c>
      <c r="B25" s="8">
        <v>1.51</v>
      </c>
      <c r="C25" s="9">
        <v>21</v>
      </c>
      <c r="D25" s="9">
        <v>171</v>
      </c>
      <c r="E25" s="9">
        <v>2810</v>
      </c>
    </row>
    <row r="26" spans="1:5" x14ac:dyDescent="0.25">
      <c r="A26" s="3">
        <v>44221</v>
      </c>
      <c r="B26" s="8">
        <v>3.17</v>
      </c>
      <c r="C26" s="9">
        <v>45</v>
      </c>
      <c r="D26" s="9">
        <v>359</v>
      </c>
      <c r="E26" s="9">
        <v>6097</v>
      </c>
    </row>
    <row r="27" spans="1:5" x14ac:dyDescent="0.25">
      <c r="A27" s="3">
        <v>44222</v>
      </c>
      <c r="B27" s="8">
        <v>1.27</v>
      </c>
      <c r="C27" s="9">
        <v>20</v>
      </c>
      <c r="D27" s="9">
        <v>143</v>
      </c>
      <c r="E27" s="9">
        <v>2535</v>
      </c>
    </row>
    <row r="28" spans="1:5" x14ac:dyDescent="0.25">
      <c r="A28" s="3">
        <v>44228</v>
      </c>
      <c r="B28" s="8">
        <v>3.19</v>
      </c>
      <c r="C28" s="9">
        <v>44</v>
      </c>
      <c r="D28" s="9">
        <v>360</v>
      </c>
      <c r="E28" s="9">
        <v>5943</v>
      </c>
    </row>
    <row r="29" spans="1:5" x14ac:dyDescent="0.25">
      <c r="A29" s="3">
        <v>44235</v>
      </c>
      <c r="B29" s="8">
        <v>1.34</v>
      </c>
      <c r="C29" s="9">
        <v>22</v>
      </c>
      <c r="D29" s="9">
        <v>152</v>
      </c>
      <c r="E29" s="9">
        <v>2676</v>
      </c>
    </row>
    <row r="30" spans="1:5" x14ac:dyDescent="0.25">
      <c r="A30" s="3">
        <v>44237</v>
      </c>
      <c r="B30" s="8">
        <v>3.18</v>
      </c>
      <c r="C30" s="9">
        <v>48</v>
      </c>
      <c r="D30" s="9">
        <v>359</v>
      </c>
      <c r="E30" s="9">
        <v>5749</v>
      </c>
    </row>
    <row r="31" spans="1:5" x14ac:dyDescent="0.25">
      <c r="A31" s="3">
        <v>44242</v>
      </c>
      <c r="B31" s="8">
        <v>3.18</v>
      </c>
      <c r="C31" s="9">
        <v>41</v>
      </c>
      <c r="D31" s="9">
        <v>360</v>
      </c>
      <c r="E31" s="9">
        <v>3525</v>
      </c>
    </row>
    <row r="32" spans="1:5" x14ac:dyDescent="0.25">
      <c r="A32" s="3">
        <v>44244</v>
      </c>
      <c r="B32" s="8">
        <v>3.28</v>
      </c>
      <c r="C32" s="9">
        <v>40</v>
      </c>
      <c r="D32" s="9">
        <v>371</v>
      </c>
      <c r="E32" s="9">
        <v>5450</v>
      </c>
    </row>
    <row r="33" spans="1:5" x14ac:dyDescent="0.25">
      <c r="A33" s="3">
        <v>44249</v>
      </c>
      <c r="B33" s="8">
        <v>3.45</v>
      </c>
      <c r="C33" s="9">
        <v>40</v>
      </c>
      <c r="D33" s="9">
        <v>390</v>
      </c>
      <c r="E33" s="9">
        <v>5488</v>
      </c>
    </row>
    <row r="34" spans="1:5" x14ac:dyDescent="0.25">
      <c r="A34" s="3">
        <v>44253</v>
      </c>
      <c r="B34" s="8">
        <v>2.02</v>
      </c>
      <c r="C34" s="9">
        <v>30</v>
      </c>
      <c r="D34" s="9">
        <v>228</v>
      </c>
      <c r="E34" s="9">
        <v>3572</v>
      </c>
    </row>
    <row r="35" spans="1:5" x14ac:dyDescent="0.25">
      <c r="A35" s="3">
        <v>44254</v>
      </c>
      <c r="B35" s="8">
        <v>2.82</v>
      </c>
      <c r="C35" s="9">
        <v>36</v>
      </c>
      <c r="D35" s="9">
        <v>319</v>
      </c>
      <c r="E35" s="9">
        <v>4703</v>
      </c>
    </row>
    <row r="36" spans="1:5" x14ac:dyDescent="0.25">
      <c r="A36" s="3">
        <v>44257</v>
      </c>
      <c r="B36" s="8">
        <v>2.63</v>
      </c>
      <c r="C36" s="9">
        <v>51</v>
      </c>
      <c r="D36" s="9">
        <v>297</v>
      </c>
      <c r="E36" s="9">
        <v>5332</v>
      </c>
    </row>
    <row r="37" spans="1:5" x14ac:dyDescent="0.25">
      <c r="A37" s="3">
        <v>44258</v>
      </c>
      <c r="B37" s="8">
        <v>1.1200000000000001</v>
      </c>
      <c r="C37" s="9">
        <v>21</v>
      </c>
      <c r="D37" s="9">
        <v>127</v>
      </c>
      <c r="E37" s="9">
        <v>2220</v>
      </c>
    </row>
    <row r="38" spans="1:5" x14ac:dyDescent="0.25">
      <c r="A38" s="3">
        <v>44259</v>
      </c>
      <c r="B38" s="8">
        <v>1</v>
      </c>
      <c r="C38" s="9">
        <v>26</v>
      </c>
      <c r="D38" s="9">
        <v>113</v>
      </c>
      <c r="E38" s="9">
        <v>2286</v>
      </c>
    </row>
    <row r="39" spans="1:5" x14ac:dyDescent="0.25">
      <c r="A39" s="3">
        <v>44259</v>
      </c>
      <c r="B39" s="8">
        <v>2</v>
      </c>
      <c r="C39" s="9">
        <v>15</v>
      </c>
      <c r="D39" s="9">
        <v>141</v>
      </c>
      <c r="E39" s="9">
        <v>2397</v>
      </c>
    </row>
    <row r="40" spans="1:5" x14ac:dyDescent="0.25">
      <c r="A40" s="3"/>
      <c r="B40" s="8"/>
      <c r="C40" s="9"/>
      <c r="D40" s="9"/>
      <c r="E40" s="9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Table">
                <anchor>
                  <from>
                    <xdr:col>6</xdr:col>
                    <xdr:colOff>19050</xdr:colOff>
                    <xdr:row>1</xdr:row>
                    <xdr:rowOff>66675</xdr:rowOff>
                  </from>
                  <to>
                    <xdr:col>8</xdr:col>
                    <xdr:colOff>371475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Data">
                <anchor>
                  <from>
                    <xdr:col>6</xdr:col>
                    <xdr:colOff>38100</xdr:colOff>
                    <xdr:row>4</xdr:row>
                    <xdr:rowOff>28575</xdr:rowOff>
                  </from>
                  <to>
                    <xdr:col>8</xdr:col>
                    <xdr:colOff>323850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LoadTreadmillEntryForm">
                <anchor moveWithCells="1" sizeWithCells="1">
                  <from>
                    <xdr:col>6</xdr:col>
                    <xdr:colOff>66675</xdr:colOff>
                    <xdr:row>7</xdr:row>
                    <xdr:rowOff>133350</xdr:rowOff>
                  </from>
                  <to>
                    <xdr:col>8</xdr:col>
                    <xdr:colOff>323850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8E53-F76A-40C9-9FB7-2D45F032919B}">
  <sheetPr codeName="Pivots"/>
  <dimension ref="A1:T5"/>
  <sheetViews>
    <sheetView workbookViewId="0">
      <selection activeCell="S1" sqref="S1"/>
    </sheetView>
  </sheetViews>
  <sheetFormatPr defaultRowHeight="15" x14ac:dyDescent="0.25"/>
  <cols>
    <col min="1" max="1" width="13.140625" bestFit="1" customWidth="1"/>
    <col min="2" max="2" width="15.28515625" bestFit="1" customWidth="1"/>
    <col min="3" max="4" width="1.85546875" customWidth="1"/>
    <col min="5" max="5" width="13.140625" bestFit="1" customWidth="1"/>
    <col min="6" max="6" width="19.28515625" bestFit="1" customWidth="1"/>
    <col min="7" max="7" width="22.140625" bestFit="1" customWidth="1"/>
    <col min="8" max="8" width="2.42578125" customWidth="1"/>
    <col min="9" max="9" width="13.140625" bestFit="1" customWidth="1"/>
    <col min="10" max="10" width="14.85546875" bestFit="1" customWidth="1"/>
    <col min="11" max="11" width="1.85546875" customWidth="1"/>
    <col min="12" max="12" width="2.42578125" customWidth="1"/>
    <col min="13" max="13" width="13.140625" bestFit="1" customWidth="1"/>
    <col min="14" max="14" width="12.42578125" bestFit="1" customWidth="1"/>
    <col min="16" max="16" width="13.140625" bestFit="1" customWidth="1"/>
    <col min="17" max="17" width="21" bestFit="1" customWidth="1"/>
    <col min="18" max="18" width="12" bestFit="1" customWidth="1"/>
    <col min="19" max="19" width="13.140625" bestFit="1" customWidth="1"/>
    <col min="20" max="20" width="17.85546875" bestFit="1" customWidth="1"/>
    <col min="21" max="32" width="5.5703125" bestFit="1" customWidth="1"/>
    <col min="33" max="33" width="11.28515625" bestFit="1" customWidth="1"/>
    <col min="34" max="36" width="12" bestFit="1" customWidth="1"/>
    <col min="37" max="38" width="11" bestFit="1" customWidth="1"/>
    <col min="39" max="43" width="12" bestFit="1" customWidth="1"/>
    <col min="44" max="44" width="11" bestFit="1" customWidth="1"/>
    <col min="45" max="47" width="12" bestFit="1" customWidth="1"/>
    <col min="48" max="48" width="7.7109375" bestFit="1" customWidth="1"/>
    <col min="49" max="64" width="12" bestFit="1" customWidth="1"/>
    <col min="65" max="67" width="11" bestFit="1" customWidth="1"/>
    <col min="68" max="70" width="12" bestFit="1" customWidth="1"/>
    <col min="71" max="71" width="11" bestFit="1" customWidth="1"/>
    <col min="72" max="85" width="12" bestFit="1" customWidth="1"/>
    <col min="86" max="87" width="11" bestFit="1" customWidth="1"/>
    <col min="88" max="88" width="12" bestFit="1" customWidth="1"/>
  </cols>
  <sheetData>
    <row r="1" spans="1:20" x14ac:dyDescent="0.25">
      <c r="A1" s="10" t="s">
        <v>5</v>
      </c>
      <c r="B1" t="s">
        <v>10</v>
      </c>
      <c r="E1" s="10" t="s">
        <v>5</v>
      </c>
      <c r="F1" t="s">
        <v>11</v>
      </c>
      <c r="G1" t="s">
        <v>14</v>
      </c>
      <c r="I1" s="10" t="s">
        <v>5</v>
      </c>
      <c r="J1" t="s">
        <v>12</v>
      </c>
      <c r="M1" s="10" t="s">
        <v>5</v>
      </c>
      <c r="N1" t="s">
        <v>13</v>
      </c>
      <c r="P1" s="10" t="s">
        <v>5</v>
      </c>
      <c r="Q1" t="s">
        <v>15</v>
      </c>
      <c r="S1" s="10" t="s">
        <v>5</v>
      </c>
      <c r="T1" t="s">
        <v>22</v>
      </c>
    </row>
    <row r="2" spans="1:20" x14ac:dyDescent="0.25">
      <c r="A2" s="11" t="s">
        <v>7</v>
      </c>
      <c r="B2" s="12">
        <v>60.759999999999991</v>
      </c>
      <c r="E2" s="11" t="s">
        <v>7</v>
      </c>
      <c r="F2" s="7">
        <v>15.816666666666666</v>
      </c>
      <c r="G2" s="12">
        <v>36.5</v>
      </c>
      <c r="I2" s="11" t="s">
        <v>7</v>
      </c>
      <c r="J2" s="12">
        <v>6914</v>
      </c>
      <c r="M2" s="11" t="s">
        <v>7</v>
      </c>
      <c r="N2" s="12">
        <v>117271</v>
      </c>
      <c r="P2" s="11" t="s">
        <v>7</v>
      </c>
      <c r="Q2" s="12">
        <v>15.618828176431865</v>
      </c>
      <c r="S2" s="11" t="s">
        <v>7</v>
      </c>
      <c r="T2" s="12">
        <v>8</v>
      </c>
    </row>
    <row r="3" spans="1:20" x14ac:dyDescent="0.25">
      <c r="A3" s="11" t="s">
        <v>8</v>
      </c>
      <c r="B3" s="12">
        <v>22.46</v>
      </c>
      <c r="E3" s="11" t="s">
        <v>8</v>
      </c>
      <c r="F3" s="7">
        <v>5.0166666666666666</v>
      </c>
      <c r="G3" s="12">
        <v>37.625</v>
      </c>
      <c r="I3" s="11" t="s">
        <v>8</v>
      </c>
      <c r="J3" s="12">
        <v>2539</v>
      </c>
      <c r="M3" s="11" t="s">
        <v>8</v>
      </c>
      <c r="N3" s="12">
        <v>37106</v>
      </c>
      <c r="P3" s="11" t="s">
        <v>8</v>
      </c>
      <c r="Q3" s="12">
        <v>13.40160284951024</v>
      </c>
      <c r="S3" s="11" t="s">
        <v>8</v>
      </c>
      <c r="T3" s="12">
        <v>5</v>
      </c>
    </row>
    <row r="4" spans="1:20" x14ac:dyDescent="0.25">
      <c r="A4" s="11" t="s">
        <v>9</v>
      </c>
      <c r="B4" s="12">
        <v>6</v>
      </c>
      <c r="E4" s="11" t="s">
        <v>9</v>
      </c>
      <c r="F4" s="7">
        <v>2</v>
      </c>
      <c r="G4" s="12">
        <v>30</v>
      </c>
      <c r="I4" s="11" t="s">
        <v>9</v>
      </c>
      <c r="J4" s="12">
        <v>678</v>
      </c>
      <c r="M4" s="11" t="s">
        <v>9</v>
      </c>
      <c r="N4" s="12">
        <v>12235</v>
      </c>
      <c r="P4" s="11" t="s">
        <v>9</v>
      </c>
      <c r="Q4" s="12">
        <v>20</v>
      </c>
      <c r="S4" s="11" t="s">
        <v>6</v>
      </c>
      <c r="T4" s="12">
        <v>13</v>
      </c>
    </row>
    <row r="5" spans="1:20" x14ac:dyDescent="0.25">
      <c r="A5" s="11" t="s">
        <v>6</v>
      </c>
      <c r="B5" s="12">
        <v>89.22</v>
      </c>
      <c r="E5" s="11" t="s">
        <v>6</v>
      </c>
      <c r="F5" s="7">
        <v>22.833333333333332</v>
      </c>
      <c r="G5" s="12">
        <v>36.05263157894737</v>
      </c>
      <c r="I5" s="11" t="s">
        <v>6</v>
      </c>
      <c r="J5" s="12">
        <v>10131</v>
      </c>
      <c r="M5" s="11" t="s">
        <v>6</v>
      </c>
      <c r="N5" s="12">
        <v>166612</v>
      </c>
      <c r="P5" s="11" t="s">
        <v>6</v>
      </c>
      <c r="Q5" s="12">
        <v>15.355301501905403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F6EC-F3AD-4E5B-A829-8E1786AC53AA}">
  <sheetPr codeName="Sheet1"/>
  <dimension ref="A1:I38"/>
  <sheetViews>
    <sheetView workbookViewId="0">
      <selection activeCell="G48" sqref="G48"/>
    </sheetView>
  </sheetViews>
  <sheetFormatPr defaultRowHeight="15" x14ac:dyDescent="0.25"/>
  <cols>
    <col min="1" max="1" width="9.7109375" bestFit="1" customWidth="1"/>
  </cols>
  <sheetData>
    <row r="1" spans="1:9" x14ac:dyDescent="0.25">
      <c r="A1" s="3">
        <v>44198</v>
      </c>
      <c r="B1" s="8">
        <v>3.18</v>
      </c>
      <c r="C1" s="9">
        <v>45</v>
      </c>
      <c r="D1" s="9">
        <v>359</v>
      </c>
      <c r="E1" s="9">
        <v>5677</v>
      </c>
    </row>
    <row r="2" spans="1:9" x14ac:dyDescent="0.25">
      <c r="A2" s="3">
        <v>44199</v>
      </c>
      <c r="B2" s="8">
        <v>2.1</v>
      </c>
      <c r="C2" s="9">
        <v>25</v>
      </c>
      <c r="D2" s="9">
        <v>237</v>
      </c>
      <c r="E2" s="9">
        <v>3344</v>
      </c>
      <c r="I2" s="1">
        <f>SUM(C1:C26)/SUM(B1:B26)</f>
        <v>15.618828176431865</v>
      </c>
    </row>
    <row r="3" spans="1:9" x14ac:dyDescent="0.25">
      <c r="A3" s="3">
        <v>44199</v>
      </c>
      <c r="B3" s="8">
        <v>2.0099999999999998</v>
      </c>
      <c r="C3" s="9">
        <v>44</v>
      </c>
      <c r="D3" s="9">
        <v>227</v>
      </c>
      <c r="E3" s="9">
        <v>4527</v>
      </c>
    </row>
    <row r="4" spans="1:9" x14ac:dyDescent="0.25">
      <c r="A4" s="3">
        <v>44200</v>
      </c>
      <c r="B4" s="8">
        <v>3.13</v>
      </c>
      <c r="C4" s="9">
        <v>48</v>
      </c>
      <c r="D4" s="9">
        <v>354</v>
      </c>
      <c r="E4" s="9">
        <v>6060</v>
      </c>
    </row>
    <row r="5" spans="1:9" x14ac:dyDescent="0.25">
      <c r="A5" s="3">
        <v>44201</v>
      </c>
      <c r="B5" s="8">
        <v>3.01</v>
      </c>
      <c r="C5" s="9">
        <v>57</v>
      </c>
      <c r="D5" s="9">
        <v>341</v>
      </c>
      <c r="E5" s="9">
        <v>5925</v>
      </c>
    </row>
    <row r="6" spans="1:9" x14ac:dyDescent="0.25">
      <c r="A6" s="3">
        <v>44202</v>
      </c>
      <c r="B6" s="8">
        <v>1.26</v>
      </c>
      <c r="C6" s="9">
        <v>31</v>
      </c>
      <c r="D6" s="9">
        <v>142</v>
      </c>
      <c r="E6" s="9">
        <v>2934</v>
      </c>
    </row>
    <row r="7" spans="1:9" x14ac:dyDescent="0.25">
      <c r="A7" s="3">
        <v>44203</v>
      </c>
      <c r="B7" s="8">
        <v>2.15</v>
      </c>
      <c r="C7" s="9">
        <v>28</v>
      </c>
      <c r="D7" s="9">
        <v>244</v>
      </c>
      <c r="E7" s="9">
        <v>3619</v>
      </c>
    </row>
    <row r="8" spans="1:9" x14ac:dyDescent="0.25">
      <c r="A8" s="3">
        <v>44204</v>
      </c>
      <c r="B8" s="8">
        <v>2.15</v>
      </c>
      <c r="C8" s="9">
        <v>37</v>
      </c>
      <c r="D8" s="9">
        <v>243</v>
      </c>
      <c r="E8" s="9">
        <v>4248</v>
      </c>
    </row>
    <row r="9" spans="1:9" x14ac:dyDescent="0.25">
      <c r="A9" s="3">
        <v>44205</v>
      </c>
      <c r="B9" s="8">
        <v>1</v>
      </c>
      <c r="C9" s="9">
        <v>16</v>
      </c>
      <c r="D9" s="9">
        <v>115</v>
      </c>
      <c r="E9" s="9">
        <v>2105</v>
      </c>
    </row>
    <row r="10" spans="1:9" x14ac:dyDescent="0.25">
      <c r="A10" s="3">
        <v>44205</v>
      </c>
      <c r="B10" s="8">
        <v>0.25</v>
      </c>
      <c r="C10" s="9">
        <v>4</v>
      </c>
      <c r="D10" s="9">
        <v>70</v>
      </c>
      <c r="E10" s="9">
        <v>325</v>
      </c>
    </row>
    <row r="11" spans="1:9" x14ac:dyDescent="0.25">
      <c r="A11" s="3">
        <v>44205</v>
      </c>
      <c r="B11" s="8">
        <v>0.81</v>
      </c>
      <c r="C11" s="9">
        <v>10</v>
      </c>
      <c r="D11" s="9">
        <v>92</v>
      </c>
      <c r="E11" s="9">
        <v>1330</v>
      </c>
    </row>
    <row r="12" spans="1:9" x14ac:dyDescent="0.25">
      <c r="A12" s="3">
        <v>44205</v>
      </c>
      <c r="B12" s="8">
        <v>3.19</v>
      </c>
      <c r="C12" s="9">
        <v>46</v>
      </c>
      <c r="D12" s="9">
        <v>361</v>
      </c>
      <c r="E12" s="9">
        <v>6260</v>
      </c>
    </row>
    <row r="13" spans="1:9" x14ac:dyDescent="0.25">
      <c r="A13" s="3">
        <v>44206</v>
      </c>
      <c r="B13" s="8">
        <v>1.0900000000000001</v>
      </c>
      <c r="C13" s="9">
        <v>33</v>
      </c>
      <c r="D13" s="9">
        <v>124</v>
      </c>
      <c r="E13" s="9">
        <v>2918</v>
      </c>
    </row>
    <row r="14" spans="1:9" x14ac:dyDescent="0.25">
      <c r="A14" s="3">
        <v>44207</v>
      </c>
      <c r="B14" s="8">
        <v>3.22</v>
      </c>
      <c r="C14" s="9">
        <v>46</v>
      </c>
      <c r="D14" s="9">
        <v>364</v>
      </c>
      <c r="E14" s="9">
        <v>6208</v>
      </c>
    </row>
    <row r="15" spans="1:9" x14ac:dyDescent="0.25">
      <c r="A15" s="3">
        <v>44208</v>
      </c>
      <c r="B15" s="8">
        <v>3.26</v>
      </c>
      <c r="C15" s="9">
        <v>45</v>
      </c>
      <c r="D15" s="9">
        <v>369</v>
      </c>
      <c r="E15" s="9">
        <v>6161</v>
      </c>
    </row>
    <row r="16" spans="1:9" x14ac:dyDescent="0.25">
      <c r="A16" s="3">
        <v>44209</v>
      </c>
      <c r="B16" s="8">
        <v>2.11</v>
      </c>
      <c r="C16" s="9">
        <v>47</v>
      </c>
      <c r="D16" s="9">
        <v>236</v>
      </c>
      <c r="E16" s="9">
        <v>4739</v>
      </c>
    </row>
    <row r="17" spans="1:5" x14ac:dyDescent="0.25">
      <c r="A17" s="3">
        <v>44210</v>
      </c>
      <c r="B17" s="8">
        <v>3.12</v>
      </c>
      <c r="C17" s="9">
        <v>43</v>
      </c>
      <c r="D17" s="9">
        <v>352</v>
      </c>
      <c r="E17" s="9">
        <v>5950</v>
      </c>
    </row>
    <row r="18" spans="1:5" x14ac:dyDescent="0.25">
      <c r="A18" s="3">
        <v>44211</v>
      </c>
      <c r="B18" s="8">
        <v>1.53</v>
      </c>
      <c r="C18" s="9">
        <v>31</v>
      </c>
      <c r="D18" s="9">
        <v>174</v>
      </c>
      <c r="E18" s="9">
        <v>3253</v>
      </c>
    </row>
    <row r="19" spans="1:5" x14ac:dyDescent="0.25">
      <c r="A19" s="3">
        <v>44212</v>
      </c>
      <c r="B19" s="8">
        <v>3.16</v>
      </c>
      <c r="C19" s="9">
        <v>43</v>
      </c>
      <c r="D19" s="9">
        <v>358</v>
      </c>
      <c r="E19" s="9">
        <v>6033</v>
      </c>
    </row>
    <row r="20" spans="1:5" x14ac:dyDescent="0.25">
      <c r="A20" s="3">
        <v>44213</v>
      </c>
      <c r="B20" s="8">
        <v>3.35</v>
      </c>
      <c r="C20" s="9">
        <v>44</v>
      </c>
      <c r="D20" s="9">
        <v>379</v>
      </c>
      <c r="E20" s="9">
        <v>6266</v>
      </c>
    </row>
    <row r="21" spans="1:5" x14ac:dyDescent="0.25">
      <c r="A21" s="3">
        <v>44214</v>
      </c>
      <c r="B21" s="8">
        <v>3.29</v>
      </c>
      <c r="C21" s="9">
        <v>42</v>
      </c>
      <c r="D21" s="9">
        <v>372</v>
      </c>
      <c r="E21" s="9">
        <v>5897</v>
      </c>
    </row>
    <row r="22" spans="1:5" x14ac:dyDescent="0.25">
      <c r="A22" s="3">
        <v>44215</v>
      </c>
      <c r="B22" s="8">
        <v>3.39</v>
      </c>
      <c r="C22" s="9">
        <v>46</v>
      </c>
      <c r="D22" s="9">
        <v>383</v>
      </c>
      <c r="E22" s="9">
        <v>6129</v>
      </c>
    </row>
    <row r="23" spans="1:5" x14ac:dyDescent="0.25">
      <c r="A23" s="3">
        <v>44216</v>
      </c>
      <c r="B23" s="8">
        <v>3.05</v>
      </c>
      <c r="C23" s="9">
        <v>52</v>
      </c>
      <c r="D23" s="9">
        <v>345</v>
      </c>
      <c r="E23" s="9">
        <v>5921</v>
      </c>
    </row>
    <row r="24" spans="1:5" x14ac:dyDescent="0.25">
      <c r="A24" s="3">
        <v>44217</v>
      </c>
      <c r="B24" s="8">
        <v>1.51</v>
      </c>
      <c r="C24" s="9">
        <v>21</v>
      </c>
      <c r="D24" s="9">
        <v>171</v>
      </c>
      <c r="E24" s="9">
        <v>2810</v>
      </c>
    </row>
    <row r="25" spans="1:5" x14ac:dyDescent="0.25">
      <c r="A25" s="3">
        <v>44221</v>
      </c>
      <c r="B25" s="8">
        <v>3.17</v>
      </c>
      <c r="C25" s="9">
        <v>45</v>
      </c>
      <c r="D25" s="9">
        <v>359</v>
      </c>
      <c r="E25" s="9">
        <v>6097</v>
      </c>
    </row>
    <row r="26" spans="1:5" x14ac:dyDescent="0.25">
      <c r="A26" s="3">
        <v>44222</v>
      </c>
      <c r="B26" s="8">
        <v>1.27</v>
      </c>
      <c r="C26" s="9">
        <v>20</v>
      </c>
      <c r="D26" s="9">
        <v>143</v>
      </c>
      <c r="E26" s="9">
        <v>2535</v>
      </c>
    </row>
    <row r="27" spans="1:5" x14ac:dyDescent="0.25">
      <c r="A27" s="3">
        <v>44228</v>
      </c>
      <c r="B27" s="8">
        <v>3.19</v>
      </c>
      <c r="C27" s="9">
        <v>44</v>
      </c>
      <c r="D27" s="9">
        <v>360</v>
      </c>
      <c r="E27" s="9">
        <v>5943</v>
      </c>
    </row>
    <row r="28" spans="1:5" x14ac:dyDescent="0.25">
      <c r="A28" s="3">
        <v>44235</v>
      </c>
      <c r="B28" s="8">
        <v>1.34</v>
      </c>
      <c r="C28" s="9">
        <v>22</v>
      </c>
      <c r="D28" s="9">
        <v>152</v>
      </c>
      <c r="E28" s="9">
        <v>2676</v>
      </c>
    </row>
    <row r="29" spans="1:5" x14ac:dyDescent="0.25">
      <c r="A29" s="3">
        <v>44237</v>
      </c>
      <c r="B29" s="8">
        <v>3.18</v>
      </c>
      <c r="C29" s="9">
        <v>48</v>
      </c>
      <c r="D29" s="9">
        <v>359</v>
      </c>
      <c r="E29" s="9">
        <v>5749</v>
      </c>
    </row>
    <row r="30" spans="1:5" x14ac:dyDescent="0.25">
      <c r="A30" s="3">
        <v>44242</v>
      </c>
      <c r="B30" s="8">
        <v>3.18</v>
      </c>
      <c r="C30" s="9">
        <v>41</v>
      </c>
      <c r="D30" s="9">
        <v>360</v>
      </c>
      <c r="E30" s="9">
        <v>3525</v>
      </c>
    </row>
    <row r="31" spans="1:5" x14ac:dyDescent="0.25">
      <c r="A31" s="3">
        <v>44244</v>
      </c>
      <c r="B31" s="8">
        <v>3.28</v>
      </c>
      <c r="C31" s="9">
        <v>40</v>
      </c>
      <c r="D31" s="9">
        <v>371</v>
      </c>
      <c r="E31" s="9">
        <v>5450</v>
      </c>
    </row>
    <row r="32" spans="1:5" x14ac:dyDescent="0.25">
      <c r="A32" s="3">
        <v>44249</v>
      </c>
      <c r="B32" s="8">
        <v>3.45</v>
      </c>
      <c r="C32" s="9">
        <v>40</v>
      </c>
      <c r="D32" s="9">
        <v>390</v>
      </c>
      <c r="E32" s="9">
        <v>5488</v>
      </c>
    </row>
    <row r="33" spans="1:5" x14ac:dyDescent="0.25">
      <c r="A33" s="3">
        <v>44253</v>
      </c>
      <c r="B33" s="8">
        <v>2.02</v>
      </c>
      <c r="C33" s="9">
        <v>30</v>
      </c>
      <c r="D33" s="9">
        <v>228</v>
      </c>
      <c r="E33" s="9">
        <v>3572</v>
      </c>
    </row>
    <row r="34" spans="1:5" x14ac:dyDescent="0.25">
      <c r="A34" s="3">
        <v>44254</v>
      </c>
      <c r="B34" s="8">
        <v>2.82</v>
      </c>
      <c r="C34" s="9">
        <v>36</v>
      </c>
      <c r="D34" s="9">
        <v>319</v>
      </c>
      <c r="E34" s="9">
        <v>4703</v>
      </c>
    </row>
    <row r="35" spans="1:5" x14ac:dyDescent="0.25">
      <c r="A35" s="3">
        <v>44257</v>
      </c>
      <c r="B35" s="8">
        <v>2.63</v>
      </c>
      <c r="C35" s="9">
        <v>51</v>
      </c>
      <c r="D35" s="9">
        <v>297</v>
      </c>
      <c r="E35" s="9">
        <v>5332</v>
      </c>
    </row>
    <row r="36" spans="1:5" x14ac:dyDescent="0.25">
      <c r="A36" s="3">
        <v>44258</v>
      </c>
      <c r="B36" s="8">
        <v>1.1200000000000001</v>
      </c>
      <c r="C36" s="9">
        <v>21</v>
      </c>
      <c r="D36" s="9">
        <v>127</v>
      </c>
      <c r="E36" s="9">
        <v>2220</v>
      </c>
    </row>
    <row r="37" spans="1:5" x14ac:dyDescent="0.25">
      <c r="A37" s="3">
        <v>44259</v>
      </c>
      <c r="B37" s="8">
        <v>1</v>
      </c>
      <c r="C37" s="9">
        <v>26</v>
      </c>
      <c r="D37" s="9">
        <v>113</v>
      </c>
      <c r="E37" s="9">
        <v>2286</v>
      </c>
    </row>
    <row r="38" spans="1:5" x14ac:dyDescent="0.25">
      <c r="A38" s="3">
        <v>44259</v>
      </c>
      <c r="B38" s="8">
        <v>1.25</v>
      </c>
      <c r="C38" s="9">
        <v>22</v>
      </c>
      <c r="D38" s="9">
        <v>141</v>
      </c>
      <c r="E38" s="9">
        <v>2397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MasterData</vt:lpstr>
      <vt:lpstr>Pivots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</dc:creator>
  <cp:lastModifiedBy>Jason Walker</cp:lastModifiedBy>
  <dcterms:created xsi:type="dcterms:W3CDTF">2021-04-11T20:54:45Z</dcterms:created>
  <dcterms:modified xsi:type="dcterms:W3CDTF">2021-04-14T22:38:56Z</dcterms:modified>
</cp:coreProperties>
</file>